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gan\Downloads\"/>
    </mc:Choice>
  </mc:AlternateContent>
  <xr:revisionPtr revIDLastSave="0" documentId="8_{0B7A6566-FDB3-4CAD-95AF-FF6D6B0CAA08}" xr6:coauthVersionLast="47" xr6:coauthVersionMax="47" xr10:uidLastSave="{00000000-0000-0000-0000-000000000000}"/>
  <bookViews>
    <workbookView xWindow="-110" yWindow="-110" windowWidth="19420" windowHeight="10300" xr2:uid="{94860DB2-D83C-4178-88CE-66C07985CBDF}"/>
  </bookViews>
  <sheets>
    <sheet name="Hasil audit produksi" sheetId="6" r:id="rId1"/>
    <sheet name="Hasil audit WH packaging" sheetId="7" r:id="rId2"/>
    <sheet name="Hasil audit WH IM" sheetId="8" r:id="rId3"/>
    <sheet name="Hasil audit raw material" sheetId="9" r:id="rId4"/>
    <sheet name="Hasil audit IE" sheetId="10" r:id="rId5"/>
    <sheet name="Hasil Audit PE" sheetId="11" r:id="rId6"/>
    <sheet name="Hasil audit Maintenance" sheetId="12" r:id="rId7"/>
    <sheet name="Hasil audit QC" sheetId="13" r:id="rId8"/>
    <sheet name="Hasil audit Rak WIP" sheetId="15" r:id="rId9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15" l="1"/>
  <c r="F16" i="10"/>
  <c r="H15" i="9"/>
  <c r="H17" i="8"/>
  <c r="H19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4" i="7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3" i="8"/>
  <c r="H5" i="9"/>
  <c r="H6" i="9"/>
  <c r="H7" i="9"/>
  <c r="H8" i="9"/>
  <c r="H9" i="9"/>
  <c r="H10" i="9"/>
  <c r="H11" i="9"/>
  <c r="H12" i="9"/>
  <c r="H13" i="9"/>
  <c r="H14" i="9"/>
  <c r="H4" i="9"/>
  <c r="F5" i="10"/>
  <c r="F6" i="10"/>
  <c r="F7" i="10"/>
  <c r="F8" i="10"/>
  <c r="F9" i="10"/>
  <c r="F10" i="10"/>
  <c r="F11" i="10"/>
  <c r="F12" i="10"/>
  <c r="F13" i="10"/>
  <c r="F14" i="10"/>
  <c r="F15" i="10"/>
  <c r="F4" i="10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4" i="13"/>
  <c r="G5" i="13"/>
</calcChain>
</file>

<file path=xl/sharedStrings.xml><?xml version="1.0" encoding="utf-8"?>
<sst xmlns="http://schemas.openxmlformats.org/spreadsheetml/2006/main" count="736" uniqueCount="51">
  <si>
    <t>Process</t>
  </si>
  <si>
    <t>WE</t>
  </si>
  <si>
    <t>1. Printing</t>
  </si>
  <si>
    <t>Product</t>
  </si>
  <si>
    <t>2. DC-HS Baoder</t>
  </si>
  <si>
    <t>3. FG Depan</t>
  </si>
  <si>
    <t>4. Join Manual</t>
  </si>
  <si>
    <t>4. PH-HF</t>
  </si>
  <si>
    <t>4. WP</t>
  </si>
  <si>
    <t>5. Sealing</t>
  </si>
  <si>
    <t>0. Sheeter PET</t>
  </si>
  <si>
    <t>8. VF</t>
  </si>
  <si>
    <t>9. IM</t>
  </si>
  <si>
    <t>4. Laminating-UV</t>
  </si>
  <si>
    <t>2. Varnish Offline</t>
  </si>
  <si>
    <t>0. Sheeter</t>
  </si>
  <si>
    <t>2. Silk Screen-Proofing</t>
  </si>
  <si>
    <t>2. Line Belakang</t>
  </si>
  <si>
    <t>8. HF Auto</t>
  </si>
  <si>
    <t>4. WP He Li</t>
  </si>
  <si>
    <t>5 R</t>
  </si>
  <si>
    <t>Accuracy</t>
  </si>
  <si>
    <t>Safety</t>
  </si>
  <si>
    <t>System</t>
  </si>
  <si>
    <t>Traceability</t>
  </si>
  <si>
    <t>04-Juli</t>
  </si>
  <si>
    <t>11-Juli</t>
  </si>
  <si>
    <t>18-Juli</t>
  </si>
  <si>
    <t>25- Juli</t>
  </si>
  <si>
    <t>We</t>
  </si>
  <si>
    <t>Point Audit</t>
  </si>
  <si>
    <t>Akurasi</t>
  </si>
  <si>
    <t>Incoming (25)</t>
  </si>
  <si>
    <t>Inprocess (25)</t>
  </si>
  <si>
    <t>Outgoing (25)</t>
  </si>
  <si>
    <t>Sample (25)</t>
  </si>
  <si>
    <t>9-Mei</t>
  </si>
  <si>
    <t>23-Mei</t>
  </si>
  <si>
    <t>6-Juni</t>
  </si>
  <si>
    <t>20-Juni</t>
  </si>
  <si>
    <t>Overall score</t>
  </si>
  <si>
    <t>Overall Score</t>
  </si>
  <si>
    <t>Standar</t>
  </si>
  <si>
    <t>AREA</t>
  </si>
  <si>
    <t>Area Kerja</t>
  </si>
  <si>
    <t>PROCESS SCORE</t>
  </si>
  <si>
    <t xml:space="preserve">STANDARD </t>
  </si>
  <si>
    <t>Standar score</t>
  </si>
  <si>
    <t>Standar Score</t>
  </si>
  <si>
    <t>Okt 3, 2026</t>
  </si>
  <si>
    <t>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</si>
</sst>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8" formatCode="_(* #,##0_);_(* \(#,##0\);_(* &quot;-&quot;??_);_(@_)"/>
    <numFmt numFmtId="169" formatCode="_-* #,##0_-;\-* #,##0_-;_-* &quot;-&quot;_-;_-@_-"/>
    <numFmt numFmtId="170" formatCode="[$-409]mmmm\ d\,\ yyyy;@"/>
    <numFmt numFmtId="171" formatCode="_(* #,##0.000000_);_(* \(#,##0.000000\);_(* &quot;-&quot;??_);_(@_)"/>
    <numFmt numFmtId="172" formatCode="_([$$-409]* #,##0.00_);_([$$-409]* \(#,##0.00\);_([$$-409]* &quot;-&quot;??_);_(@_)"/>
    <numFmt numFmtId="173" formatCode="#,##0\ ;&quot; (&quot;#,##0\);&quot; - &quot;;@\ "/>
    <numFmt numFmtId="174" formatCode="#,##0.00\ ;&quot; (&quot;#,##0.00\);&quot; -&quot;#\ ;@\ "/>
    <numFmt numFmtId="175" formatCode="_(* #,##0.00_);_(* \(#,##0.00\);_(* \-??_);_(@_)"/>
    <numFmt numFmtId="176" formatCode="_(&quot;Rp&quot;* #,##0_);_(&quot;Rp&quot;* \(#,##0\);_(&quot;Rp&quot;* &quot;-&quot;_);_(@_)"/>
    <numFmt numFmtId="177" formatCode="&quot; $&quot;#,##0.00\ ;&quot; $(&quot;#,##0.00\);&quot; $-&quot;#\ ;@\ "/>
    <numFmt numFmtId="178" formatCode="_(&quot;Rp&quot;* #,##0.00_);_(&quot;Rp&quot;* \(#,##0.00\);_(&quot;Rp&quot;* &quot;-&quot;??_);_(@_)"/>
    <numFmt numFmtId="179" formatCode="###0.0_);[Red]\(###0.0\)"/>
    <numFmt numFmtId="180" formatCode="[$-409]m/d/yy\ h:mm\ AM/PM;@"/>
    <numFmt numFmtId="181" formatCode="mm/dd/yy"/>
    <numFmt numFmtId="182" formatCode="_(&quot;IDR&quot;* #,##0.00_);_(&quot;IDR&quot;* \(#,##0.00\);_(&quot;IDR&quot;* &quot;-&quot;??_);_(@_)"/>
    <numFmt numFmtId="183" formatCode="_(* #,##0_);_(* \(#,##0\);_(* \-_);_(@_)"/>
  </numFmts>
  <fonts count="5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sz val="11"/>
      <color rgb="FF9C6500"/>
      <name val="Calibri"/>
      <family val="2"/>
      <scheme val="minor"/>
    </font>
    <font>
      <sz val="11"/>
      <color indexed="9"/>
      <name val="Calibri"/>
      <family val="2"/>
    </font>
    <font>
      <sz val="8"/>
      <name val="Times New Roman"/>
      <family val="1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Tahoma"/>
      <family val="2"/>
    </font>
    <font>
      <sz val="10"/>
      <name val="MS Serif"/>
      <family val="1"/>
    </font>
    <font>
      <sz val="8"/>
      <name val="Arial Unicode MS"/>
      <family val="2"/>
    </font>
    <font>
      <sz val="10"/>
      <color indexed="16"/>
      <name val="MS Serif"/>
      <family val="1"/>
    </font>
    <font>
      <i/>
      <sz val="11"/>
      <color indexed="23"/>
      <name val="Calibri"/>
      <family val="2"/>
    </font>
    <font>
      <u/>
      <sz val="10"/>
      <color indexed="20"/>
      <name val="Arial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b/>
      <sz val="8"/>
      <name val="MS Sans Serif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8"/>
      <name val="Wingdings"/>
      <charset val="2"/>
    </font>
    <font>
      <sz val="8"/>
      <name val="Helv"/>
    </font>
    <font>
      <sz val="8"/>
      <name val="MS Sans Serif"/>
      <family val="2"/>
    </font>
    <font>
      <sz val="10"/>
      <name val="Helv"/>
      <family val="2"/>
    </font>
    <font>
      <b/>
      <sz val="8"/>
      <color indexed="8"/>
      <name val="Helv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color theme="1"/>
      <name val="Calibri"/>
      <family val="2"/>
      <scheme val="minor"/>
    </font>
    <font>
      <u/>
      <sz val="10"/>
      <color rgb="FF800080"/>
      <name val="Arial"/>
      <family val="2"/>
    </font>
    <font>
      <u/>
      <sz val="10"/>
      <color theme="10"/>
      <name val="Arial"/>
      <family val="2"/>
    </font>
    <font>
      <u/>
      <sz val="10"/>
      <color rgb="FF0000FF"/>
      <name val="Arial"/>
      <family val="2"/>
    </font>
    <font>
      <sz val="14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  <charset val="1"/>
    </font>
    <font>
      <sz val="12"/>
      <color indexed="8"/>
      <name val="Calibri"/>
      <family val="2"/>
    </font>
    <font>
      <sz val="11"/>
      <color indexed="8"/>
      <name val="新細明體"/>
      <family val="2"/>
      <charset val="1"/>
    </font>
    <font>
      <sz val="10"/>
      <name val="Arial"/>
      <family val="2"/>
      <charset val="222"/>
    </font>
    <font>
      <sz val="10"/>
      <color rgb="FF000000"/>
      <name val="Arial"/>
      <family val="2"/>
    </font>
    <font>
      <sz val="10"/>
      <name val="Arial CE"/>
      <family val="2"/>
    </font>
  </fonts>
  <fills count="42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45"/>
        <bgColor indexed="29"/>
      </patternFill>
    </fill>
    <fill>
      <patternFill patternType="solid">
        <fgColor indexed="47"/>
        <bgColor indexed="22"/>
      </patternFill>
    </fill>
    <fill>
      <patternFill patternType="solid">
        <fgColor indexed="31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4"/>
        <bgColor indexed="31"/>
      </patternFill>
    </fill>
    <fill>
      <patternFill patternType="solid">
        <fgColor indexed="22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43"/>
        <bgColor indexed="26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49"/>
        <bgColor indexed="40"/>
      </patternFill>
    </fill>
    <fill>
      <patternFill patternType="solid">
        <fgColor indexed="20"/>
        <bgColor indexed="36"/>
      </patternFill>
    </fill>
    <fill>
      <patternFill patternType="solid">
        <fgColor indexed="52"/>
        <bgColor indexed="5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19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darkVertical"/>
    </fill>
  </fills>
  <borders count="24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08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4" fillId="12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3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15" borderId="0" applyNumberFormat="0" applyBorder="0" applyAlignment="0" applyProtection="0"/>
    <xf numFmtId="0" fontId="4" fillId="15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1" borderId="0" applyNumberFormat="0" applyBorder="0" applyAlignment="0" applyProtection="0"/>
    <xf numFmtId="0" fontId="4" fillId="21" borderId="0" applyNumberFormat="0" applyBorder="0" applyAlignment="0" applyProtection="0"/>
    <xf numFmtId="0" fontId="4" fillId="26" borderId="0" applyNumberFormat="0" applyBorder="0" applyAlignment="0" applyProtection="0"/>
    <xf numFmtId="0" fontId="4" fillId="15" borderId="0" applyNumberFormat="0" applyBorder="0" applyAlignment="0" applyProtection="0"/>
    <xf numFmtId="0" fontId="6" fillId="6" borderId="0" applyNumberFormat="0" applyBorder="0" applyAlignment="0" applyProtection="0"/>
    <xf numFmtId="0" fontId="9" fillId="27" borderId="0" applyNumberFormat="0" applyBorder="0" applyAlignment="0" applyProtection="0"/>
    <xf numFmtId="0" fontId="6" fillId="6" borderId="0" applyNumberFormat="0" applyBorder="0" applyAlignment="0" applyProtection="0"/>
    <xf numFmtId="0" fontId="9" fillId="28" borderId="0" applyNumberFormat="0" applyBorder="0" applyAlignment="0" applyProtection="0"/>
    <xf numFmtId="0" fontId="6" fillId="7" borderId="0" applyNumberFormat="0" applyBorder="0" applyAlignment="0" applyProtection="0"/>
    <xf numFmtId="0" fontId="9" fillId="23" borderId="0" applyNumberFormat="0" applyBorder="0" applyAlignment="0" applyProtection="0"/>
    <xf numFmtId="0" fontId="6" fillId="7" borderId="0" applyNumberFormat="0" applyBorder="0" applyAlignment="0" applyProtection="0"/>
    <xf numFmtId="0" fontId="9" fillId="23" borderId="0" applyNumberFormat="0" applyBorder="0" applyAlignment="0" applyProtection="0"/>
    <xf numFmtId="0" fontId="6" fillId="16" borderId="0" applyNumberFormat="0" applyBorder="0" applyAlignment="0" applyProtection="0"/>
    <xf numFmtId="0" fontId="9" fillId="24" borderId="0" applyNumberFormat="0" applyBorder="0" applyAlignment="0" applyProtection="0"/>
    <xf numFmtId="0" fontId="6" fillId="16" borderId="0" applyNumberFormat="0" applyBorder="0" applyAlignment="0" applyProtection="0"/>
    <xf numFmtId="0" fontId="9" fillId="25" borderId="0" applyNumberFormat="0" applyBorder="0" applyAlignment="0" applyProtection="0"/>
    <xf numFmtId="0" fontId="6" fillId="9" borderId="0" applyNumberFormat="0" applyBorder="0" applyAlignment="0" applyProtection="0"/>
    <xf numFmtId="0" fontId="9" fillId="29" borderId="0" applyNumberFormat="0" applyBorder="0" applyAlignment="0" applyProtection="0"/>
    <xf numFmtId="0" fontId="6" fillId="9" borderId="0" applyNumberFormat="0" applyBorder="0" applyAlignment="0" applyProtection="0"/>
    <xf numFmtId="0" fontId="9" fillId="22" borderId="0" applyNumberFormat="0" applyBorder="0" applyAlignment="0" applyProtection="0"/>
    <xf numFmtId="0" fontId="6" fillId="10" borderId="0" applyNumberFormat="0" applyBorder="0" applyAlignment="0" applyProtection="0"/>
    <xf numFmtId="0" fontId="9" fillId="28" borderId="0" applyNumberFormat="0" applyBorder="0" applyAlignment="0" applyProtection="0"/>
    <xf numFmtId="0" fontId="6" fillId="10" borderId="0" applyNumberFormat="0" applyBorder="0" applyAlignment="0" applyProtection="0"/>
    <xf numFmtId="0" fontId="9" fillId="28" borderId="0" applyNumberFormat="0" applyBorder="0" applyAlignment="0" applyProtection="0"/>
    <xf numFmtId="0" fontId="6" fillId="11" borderId="0" applyNumberFormat="0" applyBorder="0" applyAlignment="0" applyProtection="0"/>
    <xf numFmtId="0" fontId="9" fillId="30" borderId="0" applyNumberFormat="0" applyBorder="0" applyAlignment="0" applyProtection="0"/>
    <xf numFmtId="0" fontId="6" fillId="11" borderId="0" applyNumberFormat="0" applyBorder="0" applyAlignment="0" applyProtection="0"/>
    <xf numFmtId="0" fontId="9" fillId="15" borderId="0" applyNumberFormat="0" applyBorder="0" applyAlignment="0" applyProtection="0"/>
    <xf numFmtId="0" fontId="9" fillId="31" borderId="0" applyNumberFormat="0" applyBorder="0" applyAlignment="0" applyProtection="0"/>
    <xf numFmtId="0" fontId="9" fillId="28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29" borderId="0" applyNumberFormat="0" applyBorder="0" applyAlignment="0" applyProtection="0"/>
    <xf numFmtId="0" fontId="9" fillId="34" borderId="0" applyNumberFormat="0" applyBorder="0" applyAlignment="0" applyProtection="0"/>
    <xf numFmtId="0" fontId="9" fillId="28" borderId="0" applyNumberFormat="0" applyBorder="0" applyAlignment="0" applyProtection="0"/>
    <xf numFmtId="0" fontId="9" fillId="28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170" fontId="10" fillId="0" borderId="0">
      <alignment horizontal="center" wrapText="1"/>
      <protection locked="0"/>
    </xf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171" fontId="5" fillId="0" borderId="0" applyFill="0" applyBorder="0" applyAlignment="0"/>
    <xf numFmtId="0" fontId="12" fillId="22" borderId="10" applyNumberFormat="0" applyAlignment="0" applyProtection="0"/>
    <xf numFmtId="0" fontId="12" fillId="13" borderId="10" applyNumberFormat="0" applyAlignment="0" applyProtection="0"/>
    <xf numFmtId="0" fontId="13" fillId="36" borderId="11" applyNumberFormat="0" applyAlignment="0" applyProtection="0"/>
    <xf numFmtId="0" fontId="13" fillId="36" borderId="11" applyNumberFormat="0" applyAlignment="0" applyProtection="0"/>
    <xf numFmtId="43" fontId="4" fillId="0" borderId="0" applyFont="0" applyFill="0" applyBorder="0" applyAlignment="0" applyProtection="0"/>
    <xf numFmtId="169" fontId="4" fillId="0" borderId="0" applyFont="0" applyFill="0" applyBorder="0" applyAlignment="0" applyProtection="0"/>
    <xf numFmtId="172" fontId="5" fillId="0" borderId="0" applyFill="0" applyBorder="0" applyAlignment="0" applyProtection="0"/>
    <xf numFmtId="172" fontId="5" fillId="0" borderId="0" applyFill="0" applyBorder="0" applyAlignment="0" applyProtection="0"/>
    <xf numFmtId="41" fontId="4" fillId="0" borderId="0" applyFont="0" applyFill="0" applyBorder="0" applyAlignment="0" applyProtection="0"/>
    <xf numFmtId="173" fontId="5" fillId="0" borderId="0" applyFill="0" applyBorder="0" applyAlignment="0" applyProtection="0"/>
    <xf numFmtId="172" fontId="5" fillId="0" borderId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173" fontId="5" fillId="0" borderId="0" applyFill="0" applyBorder="0" applyAlignment="0" applyProtection="0"/>
    <xf numFmtId="41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/>
    <xf numFmtId="43" fontId="14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5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/>
    <xf numFmtId="43" fontId="4" fillId="0" borderId="0" applyFont="0" applyFill="0" applyBorder="0" applyAlignment="0" applyProtection="0"/>
    <xf numFmtId="174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4" fontId="5" fillId="0" borderId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" fillId="0" borderId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5" fontId="5" fillId="0" borderId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" fillId="0" borderId="0" applyFill="0" applyBorder="0" applyAlignment="0" applyProtection="0"/>
    <xf numFmtId="43" fontId="4" fillId="0" borderId="0" applyFont="0" applyFill="0" applyBorder="0" applyAlignment="0" applyProtection="0"/>
    <xf numFmtId="174" fontId="5" fillId="0" borderId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174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5" fillId="0" borderId="0" applyFont="0" applyFill="0" applyBorder="0" applyAlignment="0" applyProtection="0"/>
    <xf numFmtId="175" fontId="5" fillId="0" borderId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0" fontId="15" fillId="0" borderId="0" applyNumberFormat="0" applyAlignment="0">
      <alignment horizontal="left"/>
    </xf>
    <xf numFmtId="44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77" fontId="5" fillId="0" borderId="0" applyFill="0" applyBorder="0" applyAlignment="0" applyProtection="0"/>
    <xf numFmtId="44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77" fontId="5" fillId="0" borderId="0" applyFill="0" applyBorder="0" applyAlignment="0" applyProtection="0"/>
    <xf numFmtId="44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0" fontId="5" fillId="0" borderId="0" applyFill="0" applyBorder="0" applyAlignment="0" applyProtection="0"/>
    <xf numFmtId="44" fontId="5" fillId="0" borderId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/>
    <xf numFmtId="0" fontId="5" fillId="0" borderId="0" applyFill="0" applyBorder="0" applyAlignment="0" applyProtection="0"/>
    <xf numFmtId="44" fontId="4" fillId="0" borderId="0" applyFont="0" applyFill="0" applyBorder="0" applyAlignment="0" applyProtection="0"/>
    <xf numFmtId="177" fontId="5" fillId="0" borderId="0" applyFill="0" applyBorder="0" applyAlignment="0" applyProtection="0"/>
    <xf numFmtId="44" fontId="5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16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" fillId="0" borderId="0"/>
    <xf numFmtId="44" fontId="5" fillId="0" borderId="0" applyFont="0" applyFill="0" applyBorder="0" applyAlignment="0" applyProtection="0"/>
    <xf numFmtId="16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78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170" fontId="17" fillId="0" borderId="0" applyNumberFormat="0" applyAlignment="0">
      <alignment horizontal="left"/>
    </xf>
    <xf numFmtId="0" fontId="5" fillId="0" borderId="0"/>
    <xf numFmtId="0" fontId="4" fillId="0" borderId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0" fillId="17" borderId="0" applyNumberFormat="0" applyBorder="0" applyAlignment="0" applyProtection="0"/>
    <xf numFmtId="0" fontId="20" fillId="17" borderId="0" applyNumberFormat="0" applyBorder="0" applyAlignment="0" applyProtection="0"/>
    <xf numFmtId="38" fontId="21" fillId="37" borderId="0" applyNumberFormat="0" applyBorder="0" applyAlignment="0" applyProtection="0"/>
    <xf numFmtId="170" fontId="22" fillId="0" borderId="12" applyNumberFormat="0" applyAlignment="0" applyProtection="0">
      <alignment horizontal="left" vertical="center"/>
    </xf>
    <xf numFmtId="170" fontId="22" fillId="0" borderId="13">
      <alignment horizontal="left" vertical="center"/>
    </xf>
    <xf numFmtId="0" fontId="23" fillId="0" borderId="15" applyNumberFormat="0" applyFill="0" applyAlignment="0" applyProtection="0"/>
    <xf numFmtId="0" fontId="24" fillId="0" borderId="14" applyNumberFormat="0" applyFill="0" applyAlignment="0" applyProtection="0"/>
    <xf numFmtId="0" fontId="25" fillId="0" borderId="16" applyNumberFormat="0" applyFill="0" applyAlignment="0" applyProtection="0"/>
    <xf numFmtId="0" fontId="26" fillId="0" borderId="16" applyNumberFormat="0" applyFill="0" applyAlignment="0" applyProtection="0"/>
    <xf numFmtId="0" fontId="27" fillId="0" borderId="18" applyNumberFormat="0" applyFill="0" applyAlignment="0" applyProtection="0"/>
    <xf numFmtId="0" fontId="28" fillId="0" borderId="17" applyNumberFormat="0" applyFill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70" fontId="29" fillId="0" borderId="19">
      <alignment horizontal="center"/>
    </xf>
    <xf numFmtId="170" fontId="29" fillId="0" borderId="0">
      <alignment horizontal="center"/>
    </xf>
    <xf numFmtId="0" fontId="30" fillId="0" borderId="0" applyNumberFormat="0" applyFill="0" applyBorder="0" applyAlignment="0" applyProtection="0">
      <alignment vertical="top"/>
      <protection locked="0"/>
    </xf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>
      <alignment vertical="top"/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10" fontId="21" fillId="38" borderId="5" applyNumberFormat="0" applyBorder="0" applyAlignment="0" applyProtection="0"/>
    <xf numFmtId="0" fontId="31" fillId="15" borderId="10" applyNumberFormat="0" applyAlignment="0" applyProtection="0"/>
    <xf numFmtId="0" fontId="31" fillId="15" borderId="10" applyNumberFormat="0" applyAlignment="0" applyProtection="0"/>
    <xf numFmtId="0" fontId="32" fillId="0" borderId="20" applyNumberFormat="0" applyFill="0" applyAlignment="0" applyProtection="0"/>
    <xf numFmtId="0" fontId="32" fillId="0" borderId="20" applyNumberFormat="0" applyFill="0" applyAlignment="0" applyProtection="0"/>
    <xf numFmtId="0" fontId="8" fillId="39" borderId="0" applyNumberFormat="0" applyBorder="0" applyAlignment="0" applyProtection="0"/>
    <xf numFmtId="0" fontId="33" fillId="25" borderId="0" applyNumberFormat="0" applyBorder="0" applyAlignment="0" applyProtection="0"/>
    <xf numFmtId="0" fontId="8" fillId="39" borderId="0" applyNumberFormat="0" applyBorder="0" applyAlignment="0" applyProtection="0"/>
    <xf numFmtId="0" fontId="33" fillId="25" borderId="0" applyNumberFormat="0" applyBorder="0" applyAlignment="0" applyProtection="0"/>
    <xf numFmtId="179" fontId="5" fillId="0" borderId="0"/>
    <xf numFmtId="0" fontId="5" fillId="0" borderId="0"/>
    <xf numFmtId="0" fontId="48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5" fillId="0" borderId="0"/>
    <xf numFmtId="17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180" fontId="5" fillId="0" borderId="0"/>
    <xf numFmtId="0" fontId="1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0" fontId="5" fillId="0" borderId="0"/>
    <xf numFmtId="0" fontId="5" fillId="0" borderId="0"/>
    <xf numFmtId="170" fontId="1" fillId="0" borderId="0"/>
    <xf numFmtId="170" fontId="1" fillId="0" borderId="0"/>
    <xf numFmtId="170" fontId="1" fillId="0" borderId="0"/>
    <xf numFmtId="0" fontId="44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0" fontId="1" fillId="0" borderId="0"/>
    <xf numFmtId="17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5" fillId="0" borderId="0"/>
    <xf numFmtId="0" fontId="1" fillId="0" borderId="0"/>
    <xf numFmtId="17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5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4" fillId="0" borderId="0"/>
    <xf numFmtId="17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17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1" fillId="0" borderId="0"/>
    <xf numFmtId="170" fontId="1" fillId="0" borderId="0"/>
    <xf numFmtId="0" fontId="1" fillId="0" borderId="0"/>
    <xf numFmtId="17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5" fillId="0" borderId="0"/>
    <xf numFmtId="17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70" fontId="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40" borderId="7" applyNumberFormat="0" applyFont="0" applyAlignment="0" applyProtection="0"/>
    <xf numFmtId="0" fontId="5" fillId="18" borderId="1" applyNumberFormat="0" applyAlignment="0" applyProtection="0"/>
    <xf numFmtId="0" fontId="4" fillId="40" borderId="7" applyNumberFormat="0" applyFont="0" applyAlignment="0" applyProtection="0"/>
    <xf numFmtId="0" fontId="5" fillId="18" borderId="1" applyNumberFormat="0" applyAlignment="0" applyProtection="0"/>
    <xf numFmtId="0" fontId="34" fillId="22" borderId="21" applyNumberFormat="0" applyAlignment="0" applyProtection="0"/>
    <xf numFmtId="0" fontId="34" fillId="13" borderId="21" applyNumberFormat="0" applyAlignment="0" applyProtection="0"/>
    <xf numFmtId="14" fontId="10" fillId="0" borderId="0">
      <alignment horizontal="center" wrapText="1"/>
      <protection locked="0"/>
    </xf>
    <xf numFmtId="9" fontId="4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/>
    <xf numFmtId="9" fontId="4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70" fontId="35" fillId="41" borderId="0" applyNumberFormat="0" applyFont="0" applyBorder="0" applyAlignment="0">
      <alignment horizontal="center"/>
    </xf>
    <xf numFmtId="181" fontId="36" fillId="0" borderId="0" applyNumberFormat="0" applyFill="0" applyBorder="0" applyAlignment="0" applyProtection="0">
      <alignment horizontal="left"/>
    </xf>
    <xf numFmtId="170" fontId="35" fillId="1" borderId="13" applyNumberFormat="0" applyFont="0" applyAlignment="0">
      <alignment horizontal="center"/>
    </xf>
    <xf numFmtId="170" fontId="37" fillId="0" borderId="0" applyNumberFormat="0" applyFill="0" applyBorder="0" applyAlignment="0">
      <alignment horizontal="center"/>
    </xf>
    <xf numFmtId="0" fontId="38" fillId="0" borderId="0"/>
    <xf numFmtId="40" fontId="39" fillId="0" borderId="0" applyBorder="0">
      <alignment horizontal="right"/>
    </xf>
    <xf numFmtId="0" fontId="7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42" fillId="0" borderId="23" applyNumberFormat="0" applyFill="0" applyAlignment="0" applyProtection="0"/>
    <xf numFmtId="0" fontId="42" fillId="0" borderId="22" applyNumberFormat="0" applyFill="0" applyAlignment="0" applyProtection="0"/>
    <xf numFmtId="0" fontId="43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9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19" borderId="0" applyNumberFormat="0" applyBorder="0" applyAlignment="0" applyProtection="0"/>
    <xf numFmtId="0" fontId="49" fillId="13" borderId="0" applyNumberFormat="0" applyBorder="0" applyAlignment="0" applyProtection="0"/>
    <xf numFmtId="0" fontId="49" fillId="20" borderId="0" applyNumberFormat="0" applyBorder="0" applyAlignment="0" applyProtection="0"/>
    <xf numFmtId="0" fontId="49" fillId="20" borderId="0" applyNumberFormat="0" applyBorder="0" applyAlignment="0" applyProtection="0"/>
    <xf numFmtId="0" fontId="49" fillId="15" borderId="0" applyNumberFormat="0" applyBorder="0" applyAlignment="0" applyProtection="0"/>
    <xf numFmtId="0" fontId="49" fillId="15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3" borderId="0" applyNumberFormat="0" applyBorder="0" applyAlignment="0" applyProtection="0"/>
    <xf numFmtId="0" fontId="49" fillId="23" borderId="0" applyNumberFormat="0" applyBorder="0" applyAlignment="0" applyProtection="0"/>
    <xf numFmtId="0" fontId="49" fillId="24" borderId="0" applyNumberFormat="0" applyBorder="0" applyAlignment="0" applyProtection="0"/>
    <xf numFmtId="0" fontId="49" fillId="25" borderId="0" applyNumberFormat="0" applyBorder="0" applyAlignment="0" applyProtection="0"/>
    <xf numFmtId="0" fontId="49" fillId="19" borderId="0" applyNumberFormat="0" applyBorder="0" applyAlignment="0" applyProtection="0"/>
    <xf numFmtId="0" fontId="49" fillId="22" borderId="0" applyNumberFormat="0" applyBorder="0" applyAlignment="0" applyProtection="0"/>
    <xf numFmtId="0" fontId="49" fillId="21" borderId="0" applyNumberFormat="0" applyBorder="0" applyAlignment="0" applyProtection="0"/>
    <xf numFmtId="0" fontId="49" fillId="21" borderId="0" applyNumberFormat="0" applyBorder="0" applyAlignment="0" applyProtection="0"/>
    <xf numFmtId="0" fontId="49" fillId="26" borderId="0" applyNumberFormat="0" applyBorder="0" applyAlignment="0" applyProtection="0"/>
    <xf numFmtId="0" fontId="49" fillId="15" borderId="0" applyNumberFormat="0" applyBorder="0" applyAlignment="0" applyProtection="0"/>
    <xf numFmtId="43" fontId="49" fillId="0" borderId="0" applyFont="0" applyFill="0" applyBorder="0" applyAlignment="0" applyProtection="0"/>
    <xf numFmtId="169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1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176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49" fillId="0" borderId="0" applyFont="0" applyFill="0" applyBorder="0" applyAlignment="0" applyProtection="0"/>
    <xf numFmtId="178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178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178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178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178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178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40" borderId="7" applyNumberFormat="0" applyFont="0" applyAlignment="0" applyProtection="0"/>
    <xf numFmtId="0" fontId="49" fillId="40" borderId="7" applyNumberFormat="0" applyFont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0" fontId="50" fillId="0" borderId="0"/>
    <xf numFmtId="0" fontId="50" fillId="0" borderId="0"/>
    <xf numFmtId="0" fontId="50" fillId="0" borderId="0"/>
    <xf numFmtId="43" fontId="1" fillId="0" borderId="0" applyFont="0" applyFill="0" applyBorder="0" applyAlignment="0" applyProtection="0"/>
    <xf numFmtId="0" fontId="51" fillId="0" borderId="0"/>
    <xf numFmtId="43" fontId="1" fillId="0" borderId="0" applyFont="0" applyFill="0" applyBorder="0" applyAlignment="0" applyProtection="0"/>
    <xf numFmtId="0" fontId="6" fillId="8" borderId="0" applyNumberFormat="0" applyBorder="0" applyAlignment="0" applyProtection="0"/>
    <xf numFmtId="0" fontId="12" fillId="22" borderId="10" applyNumberFormat="0" applyAlignment="0" applyProtection="0"/>
    <xf numFmtId="0" fontId="12" fillId="13" borderId="10" applyNumberFormat="0" applyAlignment="0" applyProtection="0"/>
    <xf numFmtId="41" fontId="5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5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5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5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2" fillId="0" borderId="0"/>
    <xf numFmtId="170" fontId="22" fillId="0" borderId="13">
      <alignment horizontal="left" vertical="center"/>
    </xf>
    <xf numFmtId="10" fontId="21" fillId="38" borderId="5" applyNumberFormat="0" applyBorder="0" applyAlignment="0" applyProtection="0"/>
    <xf numFmtId="0" fontId="31" fillId="15" borderId="10" applyNumberFormat="0" applyAlignment="0" applyProtection="0"/>
    <xf numFmtId="0" fontId="31" fillId="15" borderId="10" applyNumberFormat="0" applyAlignment="0" applyProtection="0"/>
    <xf numFmtId="0" fontId="8" fillId="4" borderId="0" applyNumberFormat="0" applyBorder="0" applyAlignment="0" applyProtection="0"/>
    <xf numFmtId="0" fontId="52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1" fillId="5" borderId="7" applyNumberFormat="0" applyFont="0" applyAlignment="0" applyProtection="0"/>
    <xf numFmtId="0" fontId="5" fillId="18" borderId="1" applyNumberFormat="0" applyAlignment="0" applyProtection="0"/>
    <xf numFmtId="0" fontId="5" fillId="18" borderId="1" applyNumberFormat="0" applyAlignment="0" applyProtection="0"/>
    <xf numFmtId="0" fontId="34" fillId="22" borderId="21" applyNumberFormat="0" applyAlignment="0" applyProtection="0"/>
    <xf numFmtId="0" fontId="34" fillId="13" borderId="21" applyNumberForma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5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0" fontId="35" fillId="1" borderId="13" applyNumberFormat="0" applyFont="0" applyAlignment="0">
      <alignment horizontal="center"/>
    </xf>
    <xf numFmtId="0" fontId="42" fillId="0" borderId="23" applyNumberFormat="0" applyFill="0" applyAlignment="0" applyProtection="0"/>
    <xf numFmtId="0" fontId="42" fillId="0" borderId="22" applyNumberFormat="0" applyFill="0" applyAlignment="0" applyProtection="0"/>
    <xf numFmtId="0" fontId="6" fillId="8" borderId="0" applyNumberFormat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49" fillId="0" borderId="0" applyFont="0" applyFill="0" applyBorder="0" applyAlignment="0" applyProtection="0"/>
    <xf numFmtId="0" fontId="8" fillId="4" borderId="0" applyNumberFormat="0" applyBorder="0" applyAlignment="0" applyProtection="0"/>
    <xf numFmtId="0" fontId="51" fillId="0" borderId="0"/>
    <xf numFmtId="0" fontId="1" fillId="5" borderId="7" applyNumberFormat="0" applyFont="0" applyAlignment="0" applyProtection="0"/>
    <xf numFmtId="44" fontId="49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49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2" fillId="22" borderId="10" applyNumberFormat="0" applyAlignment="0" applyProtection="0"/>
    <xf numFmtId="0" fontId="12" fillId="13" borderId="10" applyNumberFormat="0" applyAlignment="0" applyProtection="0"/>
    <xf numFmtId="0" fontId="31" fillId="15" borderId="10" applyNumberFormat="0" applyAlignment="0" applyProtection="0"/>
    <xf numFmtId="0" fontId="31" fillId="15" borderId="10" applyNumberFormat="0" applyAlignment="0" applyProtection="0"/>
    <xf numFmtId="170" fontId="22" fillId="0" borderId="13">
      <alignment horizontal="left" vertical="center"/>
    </xf>
    <xf numFmtId="10" fontId="21" fillId="38" borderId="5" applyNumberFormat="0" applyBorder="0" applyAlignment="0" applyProtection="0"/>
    <xf numFmtId="0" fontId="31" fillId="15" borderId="10" applyNumberFormat="0" applyAlignment="0" applyProtection="0"/>
    <xf numFmtId="0" fontId="31" fillId="15" borderId="10" applyNumberFormat="0" applyAlignment="0" applyProtection="0"/>
    <xf numFmtId="0" fontId="12" fillId="13" borderId="10" applyNumberFormat="0" applyAlignment="0" applyProtection="0"/>
    <xf numFmtId="0" fontId="12" fillId="22" borderId="10" applyNumberFormat="0" applyAlignment="0" applyProtection="0"/>
    <xf numFmtId="170" fontId="35" fillId="1" borderId="13" applyNumberFormat="0" applyFont="0" applyAlignment="0">
      <alignment horizontal="center"/>
    </xf>
    <xf numFmtId="0" fontId="5" fillId="18" borderId="1" applyNumberFormat="0" applyAlignment="0" applyProtection="0"/>
    <xf numFmtId="0" fontId="5" fillId="18" borderId="1" applyNumberFormat="0" applyAlignment="0" applyProtection="0"/>
    <xf numFmtId="0" fontId="34" fillId="22" borderId="21" applyNumberFormat="0" applyAlignment="0" applyProtection="0"/>
    <xf numFmtId="0" fontId="34" fillId="13" borderId="21" applyNumberFormat="0" applyAlignment="0" applyProtection="0"/>
    <xf numFmtId="0" fontId="5" fillId="18" borderId="1" applyNumberFormat="0" applyAlignment="0" applyProtection="0"/>
    <xf numFmtId="0" fontId="5" fillId="18" borderId="1" applyNumberFormat="0" applyAlignment="0" applyProtection="0"/>
    <xf numFmtId="0" fontId="34" fillId="22" borderId="21" applyNumberFormat="0" applyAlignment="0" applyProtection="0"/>
    <xf numFmtId="0" fontId="34" fillId="13" borderId="21" applyNumberFormat="0" applyAlignment="0" applyProtection="0"/>
    <xf numFmtId="170" fontId="35" fillId="1" borderId="13" applyNumberFormat="0" applyFont="0" applyAlignment="0">
      <alignment horizontal="center"/>
    </xf>
    <xf numFmtId="0" fontId="42" fillId="0" borderId="23" applyNumberFormat="0" applyFill="0" applyAlignment="0" applyProtection="0"/>
    <xf numFmtId="0" fontId="42" fillId="0" borderId="22" applyNumberFormat="0" applyFill="0" applyAlignment="0" applyProtection="0"/>
    <xf numFmtId="0" fontId="42" fillId="0" borderId="23" applyNumberFormat="0" applyFill="0" applyAlignment="0" applyProtection="0"/>
    <xf numFmtId="0" fontId="42" fillId="0" borderId="22" applyNumberFormat="0" applyFill="0" applyAlignment="0" applyProtection="0"/>
    <xf numFmtId="170" fontId="22" fillId="0" borderId="13">
      <alignment horizontal="left" vertical="center"/>
    </xf>
    <xf numFmtId="170" fontId="22" fillId="0" borderId="13">
      <alignment horizontal="left" vertical="center"/>
    </xf>
    <xf numFmtId="170" fontId="35" fillId="1" borderId="13" applyNumberFormat="0" applyFont="0" applyAlignment="0">
      <alignment horizontal="center"/>
    </xf>
    <xf numFmtId="170" fontId="22" fillId="0" borderId="13">
      <alignment horizontal="left" vertical="center"/>
    </xf>
    <xf numFmtId="0" fontId="5" fillId="18" borderId="1" applyNumberFormat="0" applyAlignment="0" applyProtection="0"/>
    <xf numFmtId="0" fontId="5" fillId="18" borderId="1" applyNumberFormat="0" applyAlignment="0" applyProtection="0"/>
    <xf numFmtId="170" fontId="35" fillId="1" borderId="13" applyNumberFormat="0" applyFont="0" applyAlignment="0">
      <alignment horizontal="center"/>
    </xf>
    <xf numFmtId="170" fontId="22" fillId="0" borderId="13">
      <alignment horizontal="left" vertical="center"/>
    </xf>
    <xf numFmtId="170" fontId="35" fillId="1" borderId="13" applyNumberFormat="0" applyFont="0" applyAlignment="0">
      <alignment horizontal="center"/>
    </xf>
    <xf numFmtId="0" fontId="5" fillId="18" borderId="1" applyNumberFormat="0" applyAlignment="0" applyProtection="0"/>
    <xf numFmtId="0" fontId="5" fillId="18" borderId="1" applyNumberFormat="0" applyAlignment="0" applyProtection="0"/>
    <xf numFmtId="0" fontId="5" fillId="18" borderId="1" applyNumberFormat="0" applyAlignment="0" applyProtection="0"/>
    <xf numFmtId="0" fontId="5" fillId="18" borderId="1" applyNumberFormat="0" applyAlignment="0" applyProtection="0"/>
    <xf numFmtId="170" fontId="35" fillId="1" borderId="13" applyNumberFormat="0" applyFont="0" applyAlignment="0">
      <alignment horizontal="center"/>
    </xf>
    <xf numFmtId="170" fontId="22" fillId="0" borderId="13">
      <alignment horizontal="left" vertical="center"/>
    </xf>
    <xf numFmtId="0" fontId="44" fillId="0" borderId="0"/>
    <xf numFmtId="41" fontId="4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182" fontId="44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4" fillId="0" borderId="0"/>
    <xf numFmtId="0" fontId="5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9" fontId="4" fillId="0" borderId="0" applyFont="0" applyFill="0" applyBorder="0" applyAlignment="0" applyProtection="0"/>
    <xf numFmtId="0" fontId="44" fillId="0" borderId="0"/>
    <xf numFmtId="182" fontId="44" fillId="0" borderId="0" applyFont="0" applyFill="0" applyBorder="0" applyAlignment="0" applyProtection="0"/>
    <xf numFmtId="182" fontId="44" fillId="0" borderId="0" applyFont="0" applyFill="0" applyBorder="0" applyAlignment="0" applyProtection="0"/>
    <xf numFmtId="0" fontId="44" fillId="0" borderId="0"/>
    <xf numFmtId="43" fontId="1" fillId="0" borderId="0" applyFont="0" applyFill="0" applyBorder="0" applyAlignment="0" applyProtection="0"/>
    <xf numFmtId="0" fontId="5" fillId="0" borderId="0"/>
    <xf numFmtId="183" fontId="52" fillId="0" borderId="0" applyFill="0" applyBorder="0" applyAlignment="0" applyProtection="0"/>
    <xf numFmtId="0" fontId="52" fillId="0" borderId="0"/>
    <xf numFmtId="0" fontId="55" fillId="0" borderId="0"/>
    <xf numFmtId="0" fontId="54" fillId="0" borderId="0"/>
    <xf numFmtId="0" fontId="5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4" fillId="0" borderId="0"/>
    <xf numFmtId="0" fontId="56" fillId="0" borderId="0"/>
    <xf numFmtId="44" fontId="5" fillId="0" borderId="0" applyFont="0" applyFill="0" applyBorder="0" applyAlignment="0" applyProtection="0"/>
    <xf numFmtId="0" fontId="57" fillId="0" borderId="0"/>
    <xf numFmtId="0" fontId="57" fillId="0" borderId="0"/>
    <xf numFmtId="0" fontId="1" fillId="0" borderId="0"/>
    <xf numFmtId="0" fontId="49" fillId="0" borderId="0"/>
    <xf numFmtId="43" fontId="1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0" fillId="0" borderId="0"/>
  </cellStyleXfs>
  <cellXfs count="30">
    <xf numFmtId="0" fontId="0" fillId="0" borderId="0" xfId="0"/>
    <xf numFmtId="16" fontId="0" fillId="2" borderId="4" xfId="0" applyNumberFormat="1" applyFill="1" applyBorder="1"/>
    <xf numFmtId="16" fontId="0" fillId="0" borderId="4" xfId="0" applyNumberFormat="1" applyBorder="1"/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16" fontId="0" fillId="0" borderId="5" xfId="0" applyNumberFormat="1" applyBorder="1" applyAlignment="1">
      <alignment horizontal="center" vertical="center"/>
    </xf>
    <xf numFmtId="9" fontId="0" fillId="0" borderId="5" xfId="0" applyNumberFormat="1" applyBorder="1" applyAlignment="1">
      <alignment horizontal="center" vertical="center"/>
    </xf>
    <xf numFmtId="16" fontId="0" fillId="0" borderId="5" xfId="0" applyNumberFormat="1" applyBorder="1" applyAlignment="1">
      <alignment horizontal="center"/>
    </xf>
    <xf numFmtId="9" fontId="0" fillId="0" borderId="5" xfId="0" applyNumberFormat="1" applyBorder="1" applyAlignment="1">
      <alignment horizontal="center"/>
    </xf>
    <xf numFmtId="14" fontId="0" fillId="0" borderId="5" xfId="0" applyNumberFormat="1" applyBorder="1" applyAlignment="1">
      <alignment horizontal="center" vertical="center"/>
    </xf>
    <xf numFmtId="168" fontId="0" fillId="0" borderId="0" xfId="1" applyNumberFormat="1" applyFont="1"/>
    <xf numFmtId="0" fontId="2" fillId="3" borderId="6" xfId="0" applyFont="1" applyFill="1" applyBorder="1"/>
    <xf numFmtId="16" fontId="0" fillId="2" borderId="2" xfId="0" applyNumberFormat="1" applyFill="1" applyBorder="1"/>
    <xf numFmtId="16" fontId="0" fillId="0" borderId="2" xfId="0" applyNumberFormat="1" applyBorder="1"/>
    <xf numFmtId="14" fontId="0" fillId="0" borderId="4" xfId="0" applyNumberFormat="1" applyBorder="1"/>
    <xf numFmtId="14" fontId="0" fillId="0" borderId="0" xfId="0" applyNumberFormat="1"/>
    <xf numFmtId="0" fontId="2" fillId="3" borderId="8" xfId="0" applyFont="1" applyFill="1" applyBorder="1"/>
    <xf numFmtId="0" fontId="2" fillId="3" borderId="9" xfId="0" applyFont="1" applyFill="1" applyBorder="1"/>
    <xf numFmtId="168" fontId="0" fillId="2" borderId="2" xfId="1" applyNumberFormat="1" applyFont="1" applyFill="1" applyBorder="1" applyAlignment="1">
      <alignment horizontal="center" vertical="center"/>
    </xf>
    <xf numFmtId="168" fontId="0" fillId="2" borderId="3" xfId="1" applyNumberFormat="1" applyFont="1" applyFill="1" applyBorder="1" applyAlignment="1">
      <alignment horizontal="center" vertical="center"/>
    </xf>
    <xf numFmtId="168" fontId="0" fillId="0" borderId="2" xfId="1" applyNumberFormat="1" applyFont="1" applyBorder="1" applyAlignment="1">
      <alignment horizontal="center" vertical="center"/>
    </xf>
    <xf numFmtId="168" fontId="0" fillId="0" borderId="3" xfId="1" applyNumberFormat="1" applyFont="1" applyBorder="1" applyAlignment="1">
      <alignment horizontal="center" vertical="center"/>
    </xf>
    <xf numFmtId="9" fontId="0" fillId="0" borderId="5" xfId="2" applyFont="1" applyBorder="1" applyAlignment="1">
      <alignment horizontal="center"/>
    </xf>
    <xf numFmtId="9" fontId="0" fillId="0" borderId="5" xfId="2" applyFont="1" applyBorder="1" applyAlignment="1">
      <alignment horizontal="center" vertical="center"/>
    </xf>
    <xf numFmtId="9" fontId="0" fillId="0" borderId="5" xfId="0" applyNumberFormat="1" applyBorder="1"/>
    <xf numFmtId="0" fontId="0" fillId="0" borderId="5" xfId="0" applyBorder="1"/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wrapText="1"/>
    </xf>
    <xf numFmtId="0" fontId="0" fillId="0" borderId="0" xfId="0" applyAlignment="1">
      <alignment horizontal="center" vertical="center"/>
    </xf>
  </cellXfs>
  <cellStyles count="3087">
    <cellStyle name="20% - Accent1 2" xfId="6" xr:uid="{C92BC6B4-AE6B-435B-921E-AAC6C8FD2DBA}"/>
    <cellStyle name="20% - Accent1 2 2" xfId="1771" xr:uid="{C296D19B-2FD0-439C-985A-AF93F1C939D8}"/>
    <cellStyle name="20% - Accent1 3" xfId="7" xr:uid="{9EB3DF43-432A-4909-8DBA-85C76E28FFA9}"/>
    <cellStyle name="20% - Accent1 3 2" xfId="1772" xr:uid="{893817B0-6BE9-41CA-BE12-DB837FD494C5}"/>
    <cellStyle name="20% - Accent2 2" xfId="8" xr:uid="{5087FDFE-E406-44C2-9EFB-125B4C0AE8C9}"/>
    <cellStyle name="20% - Accent2 2 2" xfId="1773" xr:uid="{2D59BEED-B9BE-4201-908B-80004400F668}"/>
    <cellStyle name="20% - Accent2 3" xfId="9" xr:uid="{B402F594-F8EE-4E01-9629-F24C5A9B13E8}"/>
    <cellStyle name="20% - Accent2 3 2" xfId="1774" xr:uid="{D9825B59-9414-4352-B730-75451E17C4AB}"/>
    <cellStyle name="20% - Accent3 2" xfId="10" xr:uid="{534FE2DC-4435-4286-8D61-600C8EDA4EDF}"/>
    <cellStyle name="20% - Accent3 2 2" xfId="1775" xr:uid="{E859CE87-1234-446D-8D77-683E94F2376E}"/>
    <cellStyle name="20% - Accent3 3" xfId="11" xr:uid="{496EFA1D-7CA0-49E7-9564-17BD32778796}"/>
    <cellStyle name="20% - Accent3 3 2" xfId="1776" xr:uid="{CB407037-30CF-4D4C-9A44-0DB6F403FE32}"/>
    <cellStyle name="20% - Accent4 2" xfId="12" xr:uid="{4A3F413E-5E92-40D0-BCB2-119229E8DF51}"/>
    <cellStyle name="20% - Accent4 2 2" xfId="1777" xr:uid="{FBC70A37-03F2-4B2B-BB1A-589A4197F7FA}"/>
    <cellStyle name="20% - Accent4 3" xfId="13" xr:uid="{18E1E2ED-4379-4965-8A51-65AB6F22A23A}"/>
    <cellStyle name="20% - Accent4 3 2" xfId="1778" xr:uid="{BFA22900-D1C3-45B6-9C12-EFD0F2B59AFC}"/>
    <cellStyle name="20% - Accent5 2" xfId="14" xr:uid="{45C23525-18F4-442D-95CB-3F8AF1E6BEC1}"/>
    <cellStyle name="20% - Accent5 2 2" xfId="1779" xr:uid="{2F295D53-3A07-4954-802C-8DC7E4F0BB05}"/>
    <cellStyle name="20% - Accent5 3" xfId="15" xr:uid="{646F7F14-8DD6-4CF1-9535-C8E291CD5B41}"/>
    <cellStyle name="20% - Accent5 3 2" xfId="1780" xr:uid="{067D917B-9ACB-4191-AFEF-15417220BD97}"/>
    <cellStyle name="20% - Accent6 2" xfId="16" xr:uid="{0FC7D779-5FE2-434A-A819-BD894FB0A83E}"/>
    <cellStyle name="20% - Accent6 2 2" xfId="1781" xr:uid="{5F9037B6-F438-4C2A-98D6-79A8DF9CB666}"/>
    <cellStyle name="20% - Accent6 3" xfId="17" xr:uid="{1E19AE4F-81D7-4EDF-A4CF-A532D60873D6}"/>
    <cellStyle name="20% - Accent6 3 2" xfId="1782" xr:uid="{63CF8822-1DA5-4CA8-903D-F11994D0AC29}"/>
    <cellStyle name="40% - Accent1 2" xfId="18" xr:uid="{520E0417-EB6A-48B3-A754-D57DBEE3207B}"/>
    <cellStyle name="40% - Accent1 2 2" xfId="1783" xr:uid="{5BDF9AFE-FB5D-4550-9E7C-F9E813860050}"/>
    <cellStyle name="40% - Accent1 3" xfId="19" xr:uid="{07D876C2-3BBD-4645-BD77-81D30B53AC89}"/>
    <cellStyle name="40% - Accent1 3 2" xfId="1784" xr:uid="{BD788073-5555-49B1-9DC7-EB18209F7F01}"/>
    <cellStyle name="40% - Accent2 2" xfId="20" xr:uid="{D9C4F4E1-316D-4F91-ABDC-9D1D78D2DC24}"/>
    <cellStyle name="40% - Accent2 2 2" xfId="1785" xr:uid="{7FBADE13-7A74-4BB2-911A-49648CA517B5}"/>
    <cellStyle name="40% - Accent2 3" xfId="21" xr:uid="{24BDF4E9-0487-4E68-AC7E-B506543BE312}"/>
    <cellStyle name="40% - Accent2 3 2" xfId="1786" xr:uid="{F5F1E909-27B2-4B77-8571-5DEEB177C22B}"/>
    <cellStyle name="40% - Accent3 2" xfId="22" xr:uid="{57D182B4-AC06-4229-8057-97D83D3383F7}"/>
    <cellStyle name="40% - Accent3 2 2" xfId="1787" xr:uid="{068BCACB-BD1C-49BE-A19D-505137C205E3}"/>
    <cellStyle name="40% - Accent3 3" xfId="23" xr:uid="{DD7B51AD-EEE1-4169-9239-FB7602F189C8}"/>
    <cellStyle name="40% - Accent3 3 2" xfId="1788" xr:uid="{0E22160F-6007-4696-9E2B-A4609A6A5E41}"/>
    <cellStyle name="40% - Accent4 2" xfId="24" xr:uid="{4683C9A5-8D22-43F8-ABD5-A05FBE135535}"/>
    <cellStyle name="40% - Accent4 2 2" xfId="1789" xr:uid="{43D68093-1424-47DA-8A97-F02D2F4A45D8}"/>
    <cellStyle name="40% - Accent4 3" xfId="25" xr:uid="{74A538F0-D9F0-4E9C-A0B7-F088215A2C34}"/>
    <cellStyle name="40% - Accent4 3 2" xfId="1790" xr:uid="{47E64200-4FF2-4182-A504-C402D541DF82}"/>
    <cellStyle name="40% - Accent5 2" xfId="26" xr:uid="{B5DF4A12-20A0-41AB-B2EB-250F3A9BA0E1}"/>
    <cellStyle name="40% - Accent5 2 2" xfId="1791" xr:uid="{D4DC7B94-8553-43AC-8E18-8C6355960108}"/>
    <cellStyle name="40% - Accent5 3" xfId="27" xr:uid="{FAE9DF18-F7A2-4E05-A4DE-9C5ACD96732F}"/>
    <cellStyle name="40% - Accent5 3 2" xfId="1792" xr:uid="{BF0326AF-CB46-495C-A51D-2B4CBCCEB368}"/>
    <cellStyle name="40% - Accent6 2" xfId="28" xr:uid="{62485E04-E71D-4AAC-AA7E-457755BA89FC}"/>
    <cellStyle name="40% - Accent6 2 2" xfId="1793" xr:uid="{7172F688-2058-4736-A14D-FDDC49F6758B}"/>
    <cellStyle name="40% - Accent6 3" xfId="29" xr:uid="{EF4E84A4-9F86-46E7-8643-7F77A5CDC433}"/>
    <cellStyle name="40% - Accent6 3 2" xfId="1794" xr:uid="{86024AD2-B11D-4EDD-84BD-B64CB63DB2DE}"/>
    <cellStyle name="60% - Accent1 2" xfId="30" xr:uid="{56255BC5-96F3-453F-8192-6BB7C3E4DA02}"/>
    <cellStyle name="60% - Accent1 2 2" xfId="31" xr:uid="{D06C692C-81D7-4B13-A463-F2AC5FD90FBD}"/>
    <cellStyle name="60% - Accent1 2 3" xfId="32" xr:uid="{44EFB9D1-92FC-4994-99BB-002768152E4E}"/>
    <cellStyle name="60% - Accent1 3" xfId="33" xr:uid="{64BD8425-9BF5-4C17-8266-FD85A0221FBC}"/>
    <cellStyle name="60% - Accent2 2" xfId="34" xr:uid="{0004C4C6-C0C0-429C-8C83-6C4F76A8B437}"/>
    <cellStyle name="60% - Accent2 2 2" xfId="35" xr:uid="{D3D5D457-53B5-48DC-B282-8F8BF406BFC2}"/>
    <cellStyle name="60% - Accent2 2 3" xfId="36" xr:uid="{86153EC1-125B-40CC-82BD-8CFB5B105CC7}"/>
    <cellStyle name="60% - Accent2 3" xfId="37" xr:uid="{3C6B2AF4-FC2F-47B0-A6CD-030A047864BB}"/>
    <cellStyle name="60% - Accent3 2" xfId="38" xr:uid="{6A7E3948-A577-452E-8669-5AB35D2F9452}"/>
    <cellStyle name="60% - Accent3 2 2" xfId="39" xr:uid="{8AE0F5C9-06CA-4145-972B-B260E5469C5F}"/>
    <cellStyle name="60% - Accent3 2 3" xfId="40" xr:uid="{1904C8A2-A2F1-40DF-A6B4-DFDE0DCD61B6}"/>
    <cellStyle name="60% - Accent3 2 3 2" xfId="2971" xr:uid="{9704C964-179E-4CFD-8EBE-845AC4877FC7}"/>
    <cellStyle name="60% - Accent3 2 4" xfId="2599" xr:uid="{3746E0B5-DDE1-4D33-85E6-458A7DC9565B}"/>
    <cellStyle name="60% - Accent3 3" xfId="41" xr:uid="{F177AC15-E71B-47AD-A78F-C67522000E4A}"/>
    <cellStyle name="60% - Accent4 2" xfId="42" xr:uid="{D0BBF813-3B6D-46E1-8221-B9547F2FDDAF}"/>
    <cellStyle name="60% - Accent4 2 2" xfId="43" xr:uid="{CE0939FB-C7ED-4D49-905C-046AECA6D3E7}"/>
    <cellStyle name="60% - Accent4 2 3" xfId="44" xr:uid="{16BD6258-0D32-413C-8820-F132B408F41A}"/>
    <cellStyle name="60% - Accent4 3" xfId="45" xr:uid="{4C65AEEE-19A3-4CB5-8F49-3ED6D2CDB8F5}"/>
    <cellStyle name="60% - Accent5 2" xfId="46" xr:uid="{5D47E5D4-C168-4D90-BA25-2AF67099D6E8}"/>
    <cellStyle name="60% - Accent5 2 2" xfId="47" xr:uid="{5B1A0552-21C4-4C0F-B72B-B87CDB470D28}"/>
    <cellStyle name="60% - Accent5 2 3" xfId="48" xr:uid="{AAB2F53D-FDF6-431B-AF8B-D016B8C10523}"/>
    <cellStyle name="60% - Accent5 3" xfId="49" xr:uid="{3E540A5C-C863-4FAB-AA09-AFE54119C40D}"/>
    <cellStyle name="60% - Accent6 2" xfId="50" xr:uid="{EF775E65-8D26-4859-9F85-073957B77EF5}"/>
    <cellStyle name="60% - Accent6 2 2" xfId="51" xr:uid="{9A0BF247-56A9-4EC5-B65F-64982C3B6EDF}"/>
    <cellStyle name="60% - Accent6 2 3" xfId="52" xr:uid="{1E9DE195-2581-481A-8BC3-554416233883}"/>
    <cellStyle name="60% - Accent6 3" xfId="53" xr:uid="{49335F05-92E3-4832-A0F5-2BC831BDECA4}"/>
    <cellStyle name="Accent1 2" xfId="54" xr:uid="{33248EDD-C748-4F9D-AEAD-8C863E73022E}"/>
    <cellStyle name="Accent1 3" xfId="55" xr:uid="{A50615B7-6EB1-4581-B21C-303271C271C6}"/>
    <cellStyle name="Accent2 2" xfId="56" xr:uid="{06A91AEB-1F41-45A4-8ABE-09023C880F00}"/>
    <cellStyle name="Accent2 3" xfId="57" xr:uid="{81F78C9F-F766-4B21-867F-FF4ECD899BC0}"/>
    <cellStyle name="Accent3 2" xfId="58" xr:uid="{81E00681-6E8A-4F25-BBBA-6FD23694B1D2}"/>
    <cellStyle name="Accent3 3" xfId="59" xr:uid="{DC049353-73F6-4A53-AFC4-B98A2442AE0D}"/>
    <cellStyle name="Accent4 2" xfId="60" xr:uid="{B274ABA1-44CF-47DE-84EC-E0ED9CABFC99}"/>
    <cellStyle name="Accent4 3" xfId="61" xr:uid="{DBE2EF67-BC04-47A4-88F4-9FD9947C758D}"/>
    <cellStyle name="Accent5 2" xfId="62" xr:uid="{67BF1A8C-373E-49E5-BCD2-34C7B40695C6}"/>
    <cellStyle name="Accent5 3" xfId="63" xr:uid="{007EDAAB-CC77-4A70-8355-07DB13C828F3}"/>
    <cellStyle name="Accent6 2" xfId="64" xr:uid="{E82CCCF3-BBA0-4BA6-860F-340FD5F8E3FE}"/>
    <cellStyle name="Accent6 3" xfId="65" xr:uid="{23F5B962-F789-43E9-AA3E-619FA5EE2781}"/>
    <cellStyle name="args.style" xfId="66" xr:uid="{16AA8FC7-F4BA-46CA-BA7C-AC4808937DD2}"/>
    <cellStyle name="Bad 2" xfId="67" xr:uid="{38454561-C601-4871-B076-BE08854B8126}"/>
    <cellStyle name="Bad 3" xfId="68" xr:uid="{4C1B6BB6-8592-4D1F-912C-5B352E0F5AE8}"/>
    <cellStyle name="Calc Currency (0)" xfId="69" xr:uid="{06373932-FDEF-4868-8E41-2D330CB961CF}"/>
    <cellStyle name="Calculation 2" xfId="70" xr:uid="{593FB42F-79B6-4FC7-9520-DDB73B5E23A1}"/>
    <cellStyle name="Calculation 2 2" xfId="2993" xr:uid="{E52DA912-63D3-4AB7-A56B-04F286C6F5DC}"/>
    <cellStyle name="Calculation 2 3" xfId="3002" xr:uid="{23636030-E49A-4933-A370-6F237BB8CA95}"/>
    <cellStyle name="Calculation 2 4" xfId="2600" xr:uid="{CAF22683-EFDD-4047-B017-DCD840BE9A9F}"/>
    <cellStyle name="Calculation 3" xfId="71" xr:uid="{303E4614-E4D7-49D3-A07C-791EE29CA42A}"/>
    <cellStyle name="Calculation 3 2" xfId="2994" xr:uid="{B43FE9F7-1399-436B-A128-AF24B75B3D63}"/>
    <cellStyle name="Calculation 3 3" xfId="3001" xr:uid="{D5E5C702-F514-4CA1-82DA-5E5C255B7421}"/>
    <cellStyle name="Calculation 3 4" xfId="2601" xr:uid="{6D5DA231-8306-4DC6-9588-E33B211F0AC8}"/>
    <cellStyle name="Check Cell 2" xfId="72" xr:uid="{48B72D13-6C26-4A92-B149-633B2B9ABE18}"/>
    <cellStyle name="Check Cell 3" xfId="73" xr:uid="{9073412C-CDED-413A-8E2E-5A5506269E9E}"/>
    <cellStyle name="Comma" xfId="1" builtinId="3"/>
    <cellStyle name="Comma [0] 10" xfId="1796" xr:uid="{DC3323E3-B9E8-4C53-8B25-D0808237FBE3}"/>
    <cellStyle name="Comma [0] 11" xfId="3033" xr:uid="{9933DAC3-4427-4291-836F-57D4F53A4DA5}"/>
    <cellStyle name="Comma [0] 2" xfId="76" xr:uid="{51744F90-7F63-470A-84D1-39120F37E8C1}"/>
    <cellStyle name="Comma [0] 2 2" xfId="77" xr:uid="{C2CAE905-B569-44B0-8B32-A4CD09D9D70F}"/>
    <cellStyle name="Comma [0] 2 3" xfId="78" xr:uid="{660281D0-F808-4270-A7A1-48CFD6D91F86}"/>
    <cellStyle name="Comma [0] 2 3 2" xfId="1797" xr:uid="{F154AEBF-E590-4E57-9A27-264CAAE494E3}"/>
    <cellStyle name="Comma [0] 2 3 3" xfId="2602" xr:uid="{FBF8A88D-7793-4B4C-A08A-4E737CF6799C}"/>
    <cellStyle name="Comma [0] 2 4" xfId="79" xr:uid="{3C3BF105-31B2-45E7-9156-6E153CB39F69}"/>
    <cellStyle name="Comma [0] 2 5" xfId="80" xr:uid="{06739FF0-F8C1-4E90-82F7-F0EE811CF253}"/>
    <cellStyle name="Comma [0] 2 6" xfId="3058" xr:uid="{9755C429-C870-44D3-9CEB-701D4A9D9DF5}"/>
    <cellStyle name="Comma [0] 3" xfId="81" xr:uid="{BF837384-A8E7-463C-BB25-4D3C66BCE0C8}"/>
    <cellStyle name="Comma [0] 3 2" xfId="1798" xr:uid="{58C18D4A-128D-4E14-BBAD-D05E6CD34579}"/>
    <cellStyle name="Comma [0] 4" xfId="82" xr:uid="{C6C7BA54-FC87-4EC0-AB71-F03265590EF5}"/>
    <cellStyle name="Comma [0] 4 2" xfId="83" xr:uid="{C7BF2509-2403-4803-B6E9-1A34525D4613}"/>
    <cellStyle name="Comma [0] 4 2 2" xfId="1800" xr:uid="{AC834785-A8C6-4F6F-A9C1-FDCC71984401}"/>
    <cellStyle name="Comma [0] 4 3" xfId="1799" xr:uid="{D5639703-0C01-475D-B6E4-B2D780BE62EB}"/>
    <cellStyle name="Comma [0] 5" xfId="84" xr:uid="{0B5AAB89-FF11-4367-B0FC-3745AE6BDAFE}"/>
    <cellStyle name="Comma [0] 5 2" xfId="1801" xr:uid="{39B87046-4614-428F-8BC4-1D78391AECD6}"/>
    <cellStyle name="Comma [0] 6" xfId="85" xr:uid="{0C48D279-C282-4A22-835A-58698404F20A}"/>
    <cellStyle name="Comma [0] 6 2" xfId="1802" xr:uid="{85C02B5D-F7AE-408C-B775-FED16EC0F160}"/>
    <cellStyle name="Comma [0] 7" xfId="86" xr:uid="{E7AA634C-16FB-49D7-9515-EF8887CA8584}"/>
    <cellStyle name="Comma [0] 8" xfId="87" xr:uid="{4470CC3D-71A2-4140-8B7D-50A63FBD6143}"/>
    <cellStyle name="Comma [0] 8 2" xfId="1803" xr:uid="{CAC68409-33EE-41C3-8634-8A37A04272E2}"/>
    <cellStyle name="Comma [0] 9" xfId="75" xr:uid="{C213DAD7-BE83-4ED2-AEBB-C6043D7AE00A}"/>
    <cellStyle name="Comma [0] 9 2" xfId="2990" xr:uid="{207EB65C-4940-4ABF-962C-DC8C56CB89F0}"/>
    <cellStyle name="Comma 10" xfId="88" xr:uid="{DD94A6B0-A0C1-4E5E-84CE-BE71DDEABB46}"/>
    <cellStyle name="Comma 100" xfId="89" xr:uid="{29E55F6E-0BAE-4DDB-BADD-82CF9A2B0494}"/>
    <cellStyle name="Comma 100 2" xfId="1804" xr:uid="{78AB9101-0D10-4485-B6E2-929181F3607B}"/>
    <cellStyle name="Comma 100 3" xfId="2603" xr:uid="{600D2DB5-96C1-459B-A7F0-83954786BCB1}"/>
    <cellStyle name="Comma 101" xfId="90" xr:uid="{F0721D6D-0BFE-4E0C-870A-891C322A04CB}"/>
    <cellStyle name="Comma 101 2" xfId="1805" xr:uid="{5883588E-BFA7-4B87-92E5-3422E65004C6}"/>
    <cellStyle name="Comma 101 3" xfId="2604" xr:uid="{8E9C7B82-E26C-434A-9EC3-43DAA8955071}"/>
    <cellStyle name="Comma 102" xfId="91" xr:uid="{E0BEAA3D-1371-46B1-BD8C-80E47A21CD67}"/>
    <cellStyle name="Comma 102 2" xfId="1806" xr:uid="{3A567A26-0B9F-4CC4-A24C-FE66EDFA6BCF}"/>
    <cellStyle name="Comma 102 3" xfId="2605" xr:uid="{AE885B11-81B4-416B-9E39-9B0D1DBE8158}"/>
    <cellStyle name="Comma 103" xfId="92" xr:uid="{FC3852B6-FD6C-4C32-B516-65ADF4547085}"/>
    <cellStyle name="Comma 103 2" xfId="1807" xr:uid="{B20FAE27-0664-469D-8CCC-E99F3F9879C8}"/>
    <cellStyle name="Comma 103 3" xfId="2606" xr:uid="{E1AED339-ABE5-4DD8-9DAD-B9F848323CED}"/>
    <cellStyle name="Comma 104" xfId="93" xr:uid="{DA701182-645D-4AF6-B983-E6F699A48DBA}"/>
    <cellStyle name="Comma 104 2" xfId="1808" xr:uid="{F1C65625-F57B-4235-BCEF-7910F514261B}"/>
    <cellStyle name="Comma 104 3" xfId="2607" xr:uid="{6AB0D894-51EF-4D64-95DF-9282F26713FD}"/>
    <cellStyle name="Comma 105" xfId="94" xr:uid="{34926962-CD5A-476E-BC27-8193A71BFEA3}"/>
    <cellStyle name="Comma 105 2" xfId="1809" xr:uid="{B6A216DD-1475-4B0E-BE33-EE5EDDECC588}"/>
    <cellStyle name="Comma 105 3" xfId="2608" xr:uid="{356F7317-F716-41C8-A9A1-2FE5CDC2A64E}"/>
    <cellStyle name="Comma 106" xfId="95" xr:uid="{B2ECB881-A9B8-496E-824D-07118EFA4BC5}"/>
    <cellStyle name="Comma 106 2" xfId="1810" xr:uid="{BEACEA8D-9269-4F8F-940B-A65BC70A03EF}"/>
    <cellStyle name="Comma 106 3" xfId="2609" xr:uid="{9A0FACC3-E154-481E-B1A5-A577FC63FD70}"/>
    <cellStyle name="Comma 107" xfId="96" xr:uid="{0FFFC767-2DD9-4068-AC70-5627B3113899}"/>
    <cellStyle name="Comma 107 2" xfId="1811" xr:uid="{18110166-4303-43B7-A820-CC50561B3052}"/>
    <cellStyle name="Comma 107 3" xfId="2610" xr:uid="{2804142B-2C4C-45E2-98F6-09BA378E6FED}"/>
    <cellStyle name="Comma 108" xfId="97" xr:uid="{85F99D47-69DA-4D7A-A77F-DCC6DFE3CCC8}"/>
    <cellStyle name="Comma 108 2" xfId="1812" xr:uid="{6B533F46-9DFA-4F1A-ABD4-A4506E948B13}"/>
    <cellStyle name="Comma 108 3" xfId="2611" xr:uid="{5D83F1A1-61CA-4387-9836-2342D9257C77}"/>
    <cellStyle name="Comma 109" xfId="98" xr:uid="{A3ACD1E8-36EA-41DB-91FD-9D7624AE8159}"/>
    <cellStyle name="Comma 109 2" xfId="1813" xr:uid="{87CF6BD6-EFB8-41BC-9705-01D821101901}"/>
    <cellStyle name="Comma 109 3" xfId="2612" xr:uid="{F6461619-9DA9-47A8-9937-4AD7B6883178}"/>
    <cellStyle name="Comma 11" xfId="99" xr:uid="{1C6BD648-0EBC-42A0-827B-FB32322A9AC5}"/>
    <cellStyle name="Comma 110" xfId="100" xr:uid="{0B32C9E5-CBB5-47FC-B46C-ECA0278DAD0F}"/>
    <cellStyle name="Comma 110 2" xfId="1814" xr:uid="{FC2A29FE-BFB3-47AE-AAEE-23AF385661AE}"/>
    <cellStyle name="Comma 110 3" xfId="2613" xr:uid="{061E9DDC-0A6A-4C73-9F07-5D7E56DF27E1}"/>
    <cellStyle name="Comma 111" xfId="101" xr:uid="{B1B238FD-3A1D-4063-AF08-8E556E94757D}"/>
    <cellStyle name="Comma 111 2" xfId="1815" xr:uid="{43621E4F-2125-4582-B0C6-0646812137DA}"/>
    <cellStyle name="Comma 111 3" xfId="2614" xr:uid="{6C6336E3-AAED-4852-A6D0-5B13B73223B7}"/>
    <cellStyle name="Comma 112" xfId="102" xr:uid="{BFD7C335-E8A3-4C64-A7C9-330CD6FE3873}"/>
    <cellStyle name="Comma 112 2" xfId="1816" xr:uid="{FF757136-83C0-47CC-AE5B-C02945F67F79}"/>
    <cellStyle name="Comma 112 3" xfId="2615" xr:uid="{F14C1EAD-F476-42DA-B005-613589F241D9}"/>
    <cellStyle name="Comma 113" xfId="103" xr:uid="{EA56C289-7990-4699-BCF6-B20D70A81C8A}"/>
    <cellStyle name="Comma 113 2" xfId="1817" xr:uid="{1AE73ABC-D006-4700-A04F-9C356AAD82B8}"/>
    <cellStyle name="Comma 113 3" xfId="2616" xr:uid="{340CDF63-83E2-47D5-AF7D-FA024083DBD4}"/>
    <cellStyle name="Comma 114" xfId="104" xr:uid="{4F2E1CB5-87D0-4D04-9174-8A6F39412D84}"/>
    <cellStyle name="Comma 114 2" xfId="1818" xr:uid="{9383E48C-554E-4CFC-A8C9-AD32C637CA70}"/>
    <cellStyle name="Comma 114 3" xfId="2617" xr:uid="{0C4174FA-0F46-4C91-9199-F70B4E1221E2}"/>
    <cellStyle name="Comma 115" xfId="105" xr:uid="{825231F9-8F4A-476B-AE01-CC9F3733CF00}"/>
    <cellStyle name="Comma 115 2" xfId="1819" xr:uid="{77819A9A-CF71-4D04-BAA7-779EC5F11FBA}"/>
    <cellStyle name="Comma 115 3" xfId="2618" xr:uid="{F8ACEF09-A35C-4C75-8DF2-C774457E320C}"/>
    <cellStyle name="Comma 116" xfId="106" xr:uid="{92197F47-E1BF-43E1-9A4B-1E5FA2425795}"/>
    <cellStyle name="Comma 116 2" xfId="1820" xr:uid="{4659CDBF-CF53-444C-A4B0-273217F51D6A}"/>
    <cellStyle name="Comma 116 3" xfId="2619" xr:uid="{09879EC0-FBF2-4133-A72F-4EEAEE82C59B}"/>
    <cellStyle name="Comma 117" xfId="107" xr:uid="{B079DE7B-8919-4916-8163-6B771690AAE1}"/>
    <cellStyle name="Comma 117 2" xfId="1821" xr:uid="{1A32C31A-C185-4C17-83EC-2AEDBFABB62E}"/>
    <cellStyle name="Comma 117 3" xfId="2620" xr:uid="{6F065299-62BF-4714-88EE-7B6CA4EC83FF}"/>
    <cellStyle name="Comma 118" xfId="108" xr:uid="{81360F45-33B4-43C8-B344-4B3C1D993D4A}"/>
    <cellStyle name="Comma 118 2" xfId="1822" xr:uid="{BFEECEF8-2BE5-494F-B3B1-3D5651F16280}"/>
    <cellStyle name="Comma 118 3" xfId="2621" xr:uid="{45A4DCEB-CF7D-48FD-BA0A-9B2105C49073}"/>
    <cellStyle name="Comma 119" xfId="109" xr:uid="{A09BE9B6-EA78-40DB-BB30-A8A7CD1AF73C}"/>
    <cellStyle name="Comma 119 2" xfId="1823" xr:uid="{134EDD96-9BC6-43B7-B5C9-29D2DF714CDC}"/>
    <cellStyle name="Comma 119 3" xfId="2622" xr:uid="{70375301-EE67-4739-B495-088BE9823B4D}"/>
    <cellStyle name="Comma 12" xfId="110" xr:uid="{A8F7D21A-4C04-48AC-AA7A-2944209793FF}"/>
    <cellStyle name="Comma 120" xfId="111" xr:uid="{7EE1ECEE-627C-4910-98EE-64FBA1863091}"/>
    <cellStyle name="Comma 120 2" xfId="1824" xr:uid="{E56B15D8-1661-4B34-8C36-C6F36F84C851}"/>
    <cellStyle name="Comma 120 3" xfId="2623" xr:uid="{BAE025C2-85A7-4224-9568-51130A79B15D}"/>
    <cellStyle name="Comma 121" xfId="112" xr:uid="{630E7392-54AB-4B15-9849-9A00194E4DA7}"/>
    <cellStyle name="Comma 121 2" xfId="1825" xr:uid="{5E14D835-D426-4278-B2F6-C34753349F7F}"/>
    <cellStyle name="Comma 121 3" xfId="2624" xr:uid="{37936A65-0D7E-4FC3-A77E-5C6FDD73703E}"/>
    <cellStyle name="Comma 122" xfId="113" xr:uid="{5CE91AAF-92BE-42C7-A88C-63EF7711B12C}"/>
    <cellStyle name="Comma 122 2" xfId="1826" xr:uid="{EDDF6B72-88C5-4658-9A72-DF1A369E20E1}"/>
    <cellStyle name="Comma 122 3" xfId="2625" xr:uid="{DCAEC755-BB0F-4EEC-87E6-09EBCC6C107C}"/>
    <cellStyle name="Comma 123" xfId="114" xr:uid="{A429216C-8380-4E2D-8485-E37E9C1DA3F8}"/>
    <cellStyle name="Comma 123 2" xfId="1827" xr:uid="{F7305CE2-650D-465A-B2EC-A0DF82C12BDD}"/>
    <cellStyle name="Comma 123 3" xfId="2626" xr:uid="{ED32F1A6-C34A-4B30-9BB1-70130902BD86}"/>
    <cellStyle name="Comma 124" xfId="115" xr:uid="{CC4EF13D-70BF-4CC2-9E02-B7FCF8C6277B}"/>
    <cellStyle name="Comma 124 2" xfId="1828" xr:uid="{4BD4E18C-6534-4B7E-8606-46E2060FEB9D}"/>
    <cellStyle name="Comma 124 3" xfId="2627" xr:uid="{C8DA1870-30D1-44A3-BE31-3B7242153414}"/>
    <cellStyle name="Comma 125" xfId="116" xr:uid="{C5C867B0-C3BF-4C9B-8138-8ECE6F1C6C9F}"/>
    <cellStyle name="Comma 125 2" xfId="1829" xr:uid="{6BCDA1B3-DBA0-42A0-91B9-A6EED72C288A}"/>
    <cellStyle name="Comma 125 3" xfId="2628" xr:uid="{99FC08FA-85FC-421B-A238-565F471710E9}"/>
    <cellStyle name="Comma 126" xfId="117" xr:uid="{52EA3545-0D54-47F7-9C7F-F10C45848463}"/>
    <cellStyle name="Comma 126 2" xfId="1830" xr:uid="{630E9C11-DB02-491F-B17E-2FB62FCC5F18}"/>
    <cellStyle name="Comma 126 3" xfId="2629" xr:uid="{D9EB1658-A448-446E-A126-AD8487FA5C16}"/>
    <cellStyle name="Comma 127" xfId="118" xr:uid="{AB17016B-E686-46AE-9DB3-2F02319A8F28}"/>
    <cellStyle name="Comma 127 2" xfId="1831" xr:uid="{67F6C88A-954F-45A9-8E68-25BA7E75EC95}"/>
    <cellStyle name="Comma 127 3" xfId="2630" xr:uid="{05EF038D-2F95-4A50-AF8A-4C095C5742A9}"/>
    <cellStyle name="Comma 128" xfId="119" xr:uid="{A36F983B-804E-484E-9863-AA49A8FE8AAC}"/>
    <cellStyle name="Comma 128 2" xfId="1832" xr:uid="{EDD2B6D6-C9A9-435E-A14E-AE0E1D7D25FD}"/>
    <cellStyle name="Comma 128 3" xfId="2631" xr:uid="{FD6C4E66-A0F9-4AC7-913F-F2DA649C7B51}"/>
    <cellStyle name="Comma 129" xfId="120" xr:uid="{BF93EDE4-195F-44AC-82C7-522C4529FF55}"/>
    <cellStyle name="Comma 129 2" xfId="1833" xr:uid="{915053CE-D744-4BD5-BADC-0A69D5997F5F}"/>
    <cellStyle name="Comma 129 3" xfId="2632" xr:uid="{2A010600-5195-4222-AD5F-8F6CEA2C21A8}"/>
    <cellStyle name="Comma 13" xfId="121" xr:uid="{130EA7EB-7CBB-4A64-94EE-8126E11051E7}"/>
    <cellStyle name="Comma 130" xfId="122" xr:uid="{6D346A93-2FD2-46D0-BABC-D5C19C8620DB}"/>
    <cellStyle name="Comma 130 2" xfId="1834" xr:uid="{3C0C586A-6ADB-49ED-B486-EB754AAD68AE}"/>
    <cellStyle name="Comma 130 3" xfId="2633" xr:uid="{49F1EBDF-BE39-4441-8B99-8284A6B4F48E}"/>
    <cellStyle name="Comma 131" xfId="123" xr:uid="{AA3EAAAA-D718-4442-8C04-CB209B3560E8}"/>
    <cellStyle name="Comma 131 2" xfId="1835" xr:uid="{D4427FA8-BA5D-4C22-8957-8AF18F84A8C8}"/>
    <cellStyle name="Comma 131 3" xfId="2634" xr:uid="{9BF8A8CB-54BC-4617-8551-EB5C1CD10434}"/>
    <cellStyle name="Comma 132" xfId="124" xr:uid="{FEA17ED2-4C61-46DE-934E-62D36DECAF3E}"/>
    <cellStyle name="Comma 132 2" xfId="1836" xr:uid="{EE542845-9516-43C8-BB19-475D33BFE517}"/>
    <cellStyle name="Comma 132 3" xfId="2635" xr:uid="{8E651D69-83E3-4A5B-BEDF-7E44EC25EB84}"/>
    <cellStyle name="Comma 133" xfId="125" xr:uid="{12975095-4062-46A8-AC9A-1F8571D0E89B}"/>
    <cellStyle name="Comma 133 2" xfId="1837" xr:uid="{51171319-7DF9-4704-86D2-BAC518DC1BFB}"/>
    <cellStyle name="Comma 133 3" xfId="2636" xr:uid="{7806381A-161B-4A1B-AF7E-F96192031C24}"/>
    <cellStyle name="Comma 134" xfId="126" xr:uid="{7501D42F-230E-4D70-B6C2-8C89135C4BAF}"/>
    <cellStyle name="Comma 134 2" xfId="1838" xr:uid="{A9CF26AC-A08C-4F2B-AEE0-E795FA3C9817}"/>
    <cellStyle name="Comma 134 3" xfId="2637" xr:uid="{AE998C0A-1FDF-486A-91AF-D835366A72AE}"/>
    <cellStyle name="Comma 135" xfId="127" xr:uid="{762F4417-7036-4F45-8DE7-44A7B1D9BCE4}"/>
    <cellStyle name="Comma 135 2" xfId="1839" xr:uid="{B6E339E7-1C07-4BC1-A1AE-7E89495BDD1A}"/>
    <cellStyle name="Comma 135 3" xfId="2638" xr:uid="{3DE07567-EB5A-4160-B0C3-7C4793BCCCB7}"/>
    <cellStyle name="Comma 136" xfId="128" xr:uid="{D26B8E62-4353-47CB-A524-09336AE257E4}"/>
    <cellStyle name="Comma 136 2" xfId="1840" xr:uid="{D6CD1634-C9C4-492D-892C-96D141DB5EF5}"/>
    <cellStyle name="Comma 136 3" xfId="2639" xr:uid="{9AB8EF85-F2A0-4AA8-B88D-073DE5232C06}"/>
    <cellStyle name="Comma 137" xfId="129" xr:uid="{D769D1DC-B026-4B72-9C58-F214AA3D9AC9}"/>
    <cellStyle name="Comma 137 2" xfId="1841" xr:uid="{DB6E2C57-6D31-4C3B-AC30-E340BF7CEE3C}"/>
    <cellStyle name="Comma 137 3" xfId="2640" xr:uid="{8B77F210-BCD2-4C2A-A4D7-9DB3B5474FED}"/>
    <cellStyle name="Comma 138" xfId="130" xr:uid="{61C1872D-37E6-4FEE-80EC-C214B396770C}"/>
    <cellStyle name="Comma 138 2" xfId="1842" xr:uid="{41CCD55E-D4BD-49AC-A9E6-261AD0E43F00}"/>
    <cellStyle name="Comma 138 3" xfId="2641" xr:uid="{82215183-06E7-49B4-BD8B-17A97FBF4B2C}"/>
    <cellStyle name="Comma 139" xfId="131" xr:uid="{22E26FEC-E4CB-4DDF-BE63-0B000CC96CC2}"/>
    <cellStyle name="Comma 139 2" xfId="1843" xr:uid="{DD5B4AFC-8557-479B-911A-F72E9EE48FF6}"/>
    <cellStyle name="Comma 139 3" xfId="2642" xr:uid="{1765DCA9-DA0A-42AF-A099-E0EAF76F5483}"/>
    <cellStyle name="Comma 14" xfId="132" xr:uid="{A6C1134C-D52E-47D7-B888-C29BB7D06815}"/>
    <cellStyle name="Comma 140" xfId="133" xr:uid="{5D78D42C-20F0-4873-B25F-401EB82B6D18}"/>
    <cellStyle name="Comma 140 2" xfId="1844" xr:uid="{7EC20468-CF9D-42DC-B5AA-68E545514F6D}"/>
    <cellStyle name="Comma 140 3" xfId="2643" xr:uid="{7801F6D5-B147-4EC0-8D84-7D6F3E4E85DA}"/>
    <cellStyle name="Comma 141" xfId="134" xr:uid="{FA06C34B-B3C0-4074-93AC-64401E9F60AB}"/>
    <cellStyle name="Comma 141 2" xfId="1845" xr:uid="{C26E0098-9DF0-45A4-8BD0-31F2CDB70480}"/>
    <cellStyle name="Comma 141 3" xfId="2644" xr:uid="{A6899BB4-EC51-4424-A68C-E069DBF1561A}"/>
    <cellStyle name="Comma 142" xfId="135" xr:uid="{CF3B85A1-6969-464A-91F0-15AF740F0E0D}"/>
    <cellStyle name="Comma 142 2" xfId="1846" xr:uid="{801ADAF9-E1BD-489F-855F-850625078C08}"/>
    <cellStyle name="Comma 142 3" xfId="2645" xr:uid="{38E2652C-53C5-4B0D-8D4C-340709ACF30B}"/>
    <cellStyle name="Comma 143" xfId="136" xr:uid="{F6B550B3-28A4-48D8-A966-04A852F758A4}"/>
    <cellStyle name="Comma 143 2" xfId="1847" xr:uid="{390C9CE1-13C3-4188-9430-102DBA71A792}"/>
    <cellStyle name="Comma 143 3" xfId="2646" xr:uid="{0AE12BEA-08AB-405C-AFD7-957E0B34C221}"/>
    <cellStyle name="Comma 144" xfId="137" xr:uid="{7AA2D5EF-351B-4AA9-8595-7225384343E3}"/>
    <cellStyle name="Comma 144 2" xfId="1848" xr:uid="{BCED6ABA-2177-488C-AFD2-B9598417160F}"/>
    <cellStyle name="Comma 144 3" xfId="2647" xr:uid="{B3B6579B-2C53-4424-9CA5-A8AB8CA972F3}"/>
    <cellStyle name="Comma 145" xfId="138" xr:uid="{8F9F2250-BEBF-4BB8-A111-7B6BFD73160E}"/>
    <cellStyle name="Comma 145 2" xfId="1849" xr:uid="{FEBE2C4B-1DD2-4C34-BAE5-8BA281E579AE}"/>
    <cellStyle name="Comma 145 3" xfId="2648" xr:uid="{EA14C7C0-430E-4912-B373-615FA6F5B552}"/>
    <cellStyle name="Comma 146" xfId="139" xr:uid="{0C17FC75-F11C-433C-B801-28E651D351F9}"/>
    <cellStyle name="Comma 146 2" xfId="1850" xr:uid="{7343F5D5-F894-4D15-AC18-A6B6E7C7D2E0}"/>
    <cellStyle name="Comma 146 3" xfId="2649" xr:uid="{5DD921A9-8D00-4959-BC31-112FF1647400}"/>
    <cellStyle name="Comma 147" xfId="140" xr:uid="{AF2F9E95-C032-4CD6-9C5C-96C8AD66F85A}"/>
    <cellStyle name="Comma 147 2" xfId="1851" xr:uid="{A6D01CC1-B1F1-4278-B143-E7038E27872E}"/>
    <cellStyle name="Comma 147 3" xfId="2650" xr:uid="{8D49B9F1-9A17-40E7-84B5-9E02F1E359DB}"/>
    <cellStyle name="Comma 148" xfId="141" xr:uid="{110FA112-F436-41B7-B2B5-90ADD6CBFF8D}"/>
    <cellStyle name="Comma 148 2" xfId="1852" xr:uid="{1EF91E93-031F-4436-99A8-E63457441CC7}"/>
    <cellStyle name="Comma 148 3" xfId="2651" xr:uid="{F588B24B-B587-4526-BCAA-C135C0DF3EFD}"/>
    <cellStyle name="Comma 149" xfId="142" xr:uid="{E12BBFD7-7DA2-4251-8F3D-01EC4AF873D2}"/>
    <cellStyle name="Comma 149 2" xfId="1853" xr:uid="{346F59D3-BCBC-4122-8194-86394C165551}"/>
    <cellStyle name="Comma 149 3" xfId="2652" xr:uid="{2830C6A0-03F4-4376-A982-1ECE46EC14D8}"/>
    <cellStyle name="Comma 15" xfId="143" xr:uid="{B630A682-4582-4166-9AEA-D2EC6531949B}"/>
    <cellStyle name="Comma 150" xfId="144" xr:uid="{743EE020-DA61-4617-9781-FCA086291F85}"/>
    <cellStyle name="Comma 150 2" xfId="1854" xr:uid="{DE6CF153-6B39-4357-AC59-F9AACCFA229A}"/>
    <cellStyle name="Comma 150 3" xfId="2653" xr:uid="{336C2D63-090F-417B-9DF7-C1D15B8D3D71}"/>
    <cellStyle name="Comma 151" xfId="145" xr:uid="{D09264F7-625F-4CAC-862E-40A6C9F36BBD}"/>
    <cellStyle name="Comma 151 2" xfId="1855" xr:uid="{20BB704B-A020-4B6C-88B7-6EA6C2BF4C7F}"/>
    <cellStyle name="Comma 151 3" xfId="2654" xr:uid="{53C5A51E-6A11-4B23-81BA-02CABCC7189C}"/>
    <cellStyle name="Comma 152" xfId="146" xr:uid="{1D09E657-3E2C-45E9-912A-1F5BA179283B}"/>
    <cellStyle name="Comma 152 2" xfId="1856" xr:uid="{F4596AAC-6717-4DC9-B810-2123B98984B6}"/>
    <cellStyle name="Comma 152 3" xfId="2655" xr:uid="{DBD2AD80-09BC-4A66-B8DD-CECAC1003D61}"/>
    <cellStyle name="Comma 153" xfId="147" xr:uid="{2DD0FB26-D426-4FA6-A709-718456F9D4D0}"/>
    <cellStyle name="Comma 153 2" xfId="1857" xr:uid="{7D519A67-2F72-4550-9C36-23A22A856085}"/>
    <cellStyle name="Comma 153 3" xfId="2656" xr:uid="{28D94AD4-E264-4C19-B2A5-1410DEDF1A54}"/>
    <cellStyle name="Comma 154" xfId="148" xr:uid="{CE9C44FB-12EB-4222-95FD-4309B613FEC6}"/>
    <cellStyle name="Comma 154 2" xfId="1858" xr:uid="{718FDBFF-2A16-4D97-BF91-0E7960691FCD}"/>
    <cellStyle name="Comma 154 3" xfId="2657" xr:uid="{A811673F-A322-4C8A-B0C8-A639F001172E}"/>
    <cellStyle name="Comma 155" xfId="149" xr:uid="{7C57A8DB-B528-4E3E-A152-3D362B194DCF}"/>
    <cellStyle name="Comma 155 2" xfId="1859" xr:uid="{BDBD652C-DEFB-4B3E-962A-C07A076A7607}"/>
    <cellStyle name="Comma 155 3" xfId="2658" xr:uid="{8B381F98-352D-46D3-BAD2-CD9DF3CE8D0D}"/>
    <cellStyle name="Comma 156" xfId="150" xr:uid="{357A1F55-7783-464A-B6A0-CFD29D655414}"/>
    <cellStyle name="Comma 156 2" xfId="1860" xr:uid="{B2FA004A-1473-4724-9E86-4AC902153FEE}"/>
    <cellStyle name="Comma 156 3" xfId="2659" xr:uid="{DA64ED85-6004-4F69-8D50-B30B19722962}"/>
    <cellStyle name="Comma 157" xfId="151" xr:uid="{A209560B-65F3-44AE-874C-33814047A458}"/>
    <cellStyle name="Comma 157 2" xfId="1861" xr:uid="{B4262512-8440-446D-8518-9807F65C05D3}"/>
    <cellStyle name="Comma 157 3" xfId="2660" xr:uid="{A939A174-C504-4D91-86FF-C6334E367C75}"/>
    <cellStyle name="Comma 158" xfId="152" xr:uid="{54E8954F-811D-4BDA-98A8-E454D499F70C}"/>
    <cellStyle name="Comma 158 2" xfId="1862" xr:uid="{92F57EFE-00D4-4D17-944B-2C2C8DFF522F}"/>
    <cellStyle name="Comma 158 3" xfId="2661" xr:uid="{C76EC26E-968B-4D04-B016-DA0A3839325F}"/>
    <cellStyle name="Comma 159" xfId="153" xr:uid="{A22F2EA9-D0A5-4704-B3D7-1120048B2EA3}"/>
    <cellStyle name="Comma 159 2" xfId="1863" xr:uid="{9B9AFF24-CC3B-4D38-8DE6-2AB96CAFB5C3}"/>
    <cellStyle name="Comma 159 3" xfId="2662" xr:uid="{A2B9A337-970C-4E5C-9ED3-6C045E456576}"/>
    <cellStyle name="Comma 16" xfId="154" xr:uid="{FD6B532C-EF09-41D7-BC14-19B4FFC5B425}"/>
    <cellStyle name="Comma 16 2" xfId="155" xr:uid="{F5DC03A6-60CE-4682-983E-2C3112E6062C}"/>
    <cellStyle name="Comma 16 2 2" xfId="1865" xr:uid="{F74FF16D-51BD-42A9-8A4D-BF45DA698BDE}"/>
    <cellStyle name="Comma 16 3" xfId="156" xr:uid="{3A7889D3-DD8F-43DE-9CDB-F2B6E319B0C7}"/>
    <cellStyle name="Comma 16 3 2" xfId="157" xr:uid="{22D92200-F3FF-4C5B-9B5E-3609EDEC733C}"/>
    <cellStyle name="Comma 16 3 2 2" xfId="1867" xr:uid="{CE14D6B6-AF16-4311-B743-67A9B79C078B}"/>
    <cellStyle name="Comma 16 3 3" xfId="1866" xr:uid="{49C59439-8C1F-4942-8BEC-231A157DEE57}"/>
    <cellStyle name="Comma 16 4" xfId="158" xr:uid="{9D88BF02-2749-4CAA-824A-F50184C38B37}"/>
    <cellStyle name="Comma 16 4 2" xfId="1868" xr:uid="{D556897A-16E9-4FBF-B423-F334F713BF07}"/>
    <cellStyle name="Comma 16 4 3" xfId="2664" xr:uid="{D4A85B0E-FFF6-4670-A7CC-4923763294F9}"/>
    <cellStyle name="Comma 16 5" xfId="159" xr:uid="{EF03FB96-4CAA-48EF-9BCF-238499DBBEB0}"/>
    <cellStyle name="Comma 16 5 2" xfId="1869" xr:uid="{18229D94-8EF3-45AD-B7EE-84CBAF17F14D}"/>
    <cellStyle name="Comma 16 6" xfId="1864" xr:uid="{690BBC58-3858-4823-B5EF-5FECB4322B72}"/>
    <cellStyle name="Comma 16 7" xfId="2663" xr:uid="{300F14B3-5FEA-4359-82B2-36BDE1E54A8F}"/>
    <cellStyle name="Comma 160" xfId="160" xr:uid="{C4287DD9-1BF9-426C-961A-044311CAE2F7}"/>
    <cellStyle name="Comma 160 2" xfId="161" xr:uid="{4A325AE1-80DA-4F89-8324-A746953A47A5}"/>
    <cellStyle name="Comma 160 2 2" xfId="1871" xr:uid="{44AD0894-19D6-4A0C-A368-ABBD8CBFB42A}"/>
    <cellStyle name="Comma 160 2 3" xfId="2666" xr:uid="{844C10EE-B5A2-43B3-8602-4359C7CC7C97}"/>
    <cellStyle name="Comma 160 3" xfId="162" xr:uid="{EDE6455E-F8A4-4F39-A002-43D43770F69B}"/>
    <cellStyle name="Comma 160 3 2" xfId="1872" xr:uid="{EC07B66C-4C27-42D8-B2AC-0338747609E5}"/>
    <cellStyle name="Comma 160 3 3" xfId="2972" xr:uid="{B5BF487A-F543-433E-A921-0E230462BBF6}"/>
    <cellStyle name="Comma 160 4" xfId="1870" xr:uid="{29DB1772-373D-457B-830C-F0136B730F4F}"/>
    <cellStyle name="Comma 160 5" xfId="2665" xr:uid="{C1699570-C75F-4350-9FA8-9FC1833DD988}"/>
    <cellStyle name="Comma 161" xfId="163" xr:uid="{D04E9AC2-984D-4F75-842C-33AF02DBA3B5}"/>
    <cellStyle name="Comma 161 2" xfId="164" xr:uid="{4EA67AA4-47A4-4344-B9B5-9C38997CE7F1}"/>
    <cellStyle name="Comma 161 2 2" xfId="1874" xr:uid="{77FCF817-F0B3-438A-99AF-9FAE01E1756B}"/>
    <cellStyle name="Comma 161 2 3" xfId="2668" xr:uid="{63853984-E6C7-4E73-B3C3-D4251ACF326C}"/>
    <cellStyle name="Comma 161 3" xfId="165" xr:uid="{7F25113F-573E-42E6-9B5D-1F8DB0827596}"/>
    <cellStyle name="Comma 161 3 2" xfId="1875" xr:uid="{8F825096-416B-4E11-A040-DF87A6B98AEB}"/>
    <cellStyle name="Comma 161 3 3" xfId="2973" xr:uid="{B1861963-876F-4FDC-82BE-4245E56FFE4F}"/>
    <cellStyle name="Comma 161 4" xfId="1873" xr:uid="{C29EB3AA-1BF9-40AF-9676-405704829661}"/>
    <cellStyle name="Comma 161 5" xfId="2667" xr:uid="{CC7D2FE3-73CD-4661-A071-B626DBBD1AFE}"/>
    <cellStyle name="Comma 162" xfId="166" xr:uid="{32051940-8AE0-4398-9B21-BBE77B88B4AF}"/>
    <cellStyle name="Comma 162 2" xfId="167" xr:uid="{8C20A747-662E-4F32-9F65-439017B5DC52}"/>
    <cellStyle name="Comma 162 2 2" xfId="1877" xr:uid="{4C63610F-2A98-4BDC-B4CA-3800BE0832F2}"/>
    <cellStyle name="Comma 162 2 3" xfId="2670" xr:uid="{57BED149-DC73-4066-809B-30707BCEF029}"/>
    <cellStyle name="Comma 162 3" xfId="168" xr:uid="{B1001988-3A8C-4CD0-8E87-0D9F26380906}"/>
    <cellStyle name="Comma 162 3 2" xfId="1878" xr:uid="{13466F97-9732-447C-8B45-B99C51FA32A5}"/>
    <cellStyle name="Comma 162 3 3" xfId="2974" xr:uid="{CBE8A14D-7A68-4E03-9469-24817FB77F23}"/>
    <cellStyle name="Comma 162 4" xfId="1876" xr:uid="{F11CC9EE-287B-43A7-9CD9-30804ACE3905}"/>
    <cellStyle name="Comma 162 5" xfId="2669" xr:uid="{3BB93762-8088-4050-A743-438EFE940B8C}"/>
    <cellStyle name="Comma 163" xfId="169" xr:uid="{72F27051-B6A6-4218-B6C3-D187EFA45ED3}"/>
    <cellStyle name="Comma 163 2" xfId="170" xr:uid="{33AD4807-1420-480D-995C-EDFD0B86B511}"/>
    <cellStyle name="Comma 163 2 2" xfId="1880" xr:uid="{1A93E927-6059-4DB1-BBCD-EA2CF43E2A6F}"/>
    <cellStyle name="Comma 163 2 3" xfId="2672" xr:uid="{8811BCCB-FFF9-440C-A5D4-2301A5EE20B1}"/>
    <cellStyle name="Comma 163 3" xfId="171" xr:uid="{32FB18BB-5C68-401C-9B8C-407E4A1B85A7}"/>
    <cellStyle name="Comma 163 3 2" xfId="1881" xr:uid="{CB65BA07-BE33-486E-A42C-C5CABE5A7EDD}"/>
    <cellStyle name="Comma 163 3 3" xfId="2975" xr:uid="{CCCAB425-29C4-4EF9-8BA1-C6F58B525C11}"/>
    <cellStyle name="Comma 163 4" xfId="1879" xr:uid="{8F1C72D2-9567-46FF-8516-FA833FF37451}"/>
    <cellStyle name="Comma 163 5" xfId="2671" xr:uid="{8FCC0D46-FD0E-4130-BA03-FFBBB6D59122}"/>
    <cellStyle name="Comma 164" xfId="172" xr:uid="{293A95FB-1EEA-420E-B6B8-07FF6FA19D64}"/>
    <cellStyle name="Comma 164 2" xfId="173" xr:uid="{F72DA070-1820-45F7-AD93-585B42B7C775}"/>
    <cellStyle name="Comma 164 2 2" xfId="1883" xr:uid="{1203463F-EB3D-4E16-8269-2507FDAF215D}"/>
    <cellStyle name="Comma 164 2 3" xfId="2674" xr:uid="{8669C804-B3C5-4A64-B0DB-FDAE3AFE8EA3}"/>
    <cellStyle name="Comma 164 3" xfId="174" xr:uid="{FB55A2C7-F1C3-4FAB-B6CD-040B4B511480}"/>
    <cellStyle name="Comma 164 3 2" xfId="1884" xr:uid="{5034A6B0-F29C-4A58-BF45-51DB412299E0}"/>
    <cellStyle name="Comma 164 3 3" xfId="2976" xr:uid="{F98B4F92-7C93-47A7-A349-AECB12C2A162}"/>
    <cellStyle name="Comma 164 4" xfId="1882" xr:uid="{8812D997-D9B3-444D-BF14-FD6EA28B2337}"/>
    <cellStyle name="Comma 164 5" xfId="2673" xr:uid="{20DC97C8-7729-4B83-9208-2A2EA1963EFD}"/>
    <cellStyle name="Comma 165" xfId="175" xr:uid="{EA60D09A-428D-41F4-9716-9487F2A8FF77}"/>
    <cellStyle name="Comma 165 2" xfId="1885" xr:uid="{C31156AA-8F5A-4295-AC9B-29F265B7A2AB}"/>
    <cellStyle name="Comma 165 3" xfId="2675" xr:uid="{E1071A8E-346D-4C17-95AB-112128D68C09}"/>
    <cellStyle name="Comma 166" xfId="176" xr:uid="{0F7AB0A1-B0BE-4BF2-8D6F-CBBAFF4600FD}"/>
    <cellStyle name="Comma 166 2" xfId="177" xr:uid="{2ECF0724-064F-4B4A-AC37-24D24DAEE915}"/>
    <cellStyle name="Comma 166 2 2" xfId="1887" xr:uid="{7B045078-13FC-4674-900A-9455842D8863}"/>
    <cellStyle name="Comma 166 2 3" xfId="2677" xr:uid="{9D87B3FA-975F-4F71-90AB-DCA968EFFC3C}"/>
    <cellStyle name="Comma 166 3" xfId="178" xr:uid="{0986C2FD-A924-44AF-8A42-EDFECBE02065}"/>
    <cellStyle name="Comma 166 3 2" xfId="1888" xr:uid="{8896B16F-86FA-4920-B561-19F034F9BAB3}"/>
    <cellStyle name="Comma 166 3 3" xfId="2977" xr:uid="{4B815678-C205-416A-92A4-2E5F69148B5B}"/>
    <cellStyle name="Comma 166 4" xfId="1886" xr:uid="{022D3A0A-41C7-4F64-AB8F-E535E30960DD}"/>
    <cellStyle name="Comma 166 5" xfId="2676" xr:uid="{1040774D-08F9-41CD-A410-00287041DDCA}"/>
    <cellStyle name="Comma 167" xfId="179" xr:uid="{B35A8316-46BD-4953-B6BC-3E131F3EAA6F}"/>
    <cellStyle name="Comma 167 2" xfId="180" xr:uid="{0DAEC161-98F7-4CD8-842F-35993C869D3D}"/>
    <cellStyle name="Comma 167 2 2" xfId="1890" xr:uid="{62C31E9A-C2C4-4A1E-9EE5-9F8751B9F04A}"/>
    <cellStyle name="Comma 167 2 3" xfId="2679" xr:uid="{71488C80-EB5F-493E-A94F-F60AECC04FE7}"/>
    <cellStyle name="Comma 167 3" xfId="181" xr:uid="{5CC8D3DE-8C87-4612-AA63-2A7D12D23A12}"/>
    <cellStyle name="Comma 167 3 2" xfId="1891" xr:uid="{C1A3E9AA-7735-41F1-AEAC-A311964DCBC3}"/>
    <cellStyle name="Comma 167 3 3" xfId="2978" xr:uid="{A906C413-3849-4F54-91A6-FCBF017C7EF4}"/>
    <cellStyle name="Comma 167 4" xfId="1889" xr:uid="{2E7F14DF-3DC3-4B62-98FD-8A82FEE28711}"/>
    <cellStyle name="Comma 167 5" xfId="2678" xr:uid="{99467724-71D1-46A0-82DD-791697318041}"/>
    <cellStyle name="Comma 168" xfId="182" xr:uid="{0299F168-05FC-4846-8B12-6D50DDC1D9F2}"/>
    <cellStyle name="Comma 168 2" xfId="183" xr:uid="{DB7B67BC-2BB5-4F94-8C9C-D7329B679DA5}"/>
    <cellStyle name="Comma 168 2 2" xfId="1893" xr:uid="{48B4D1E3-8C36-46D2-85A3-B2DF6492C9B2}"/>
    <cellStyle name="Comma 168 2 3" xfId="2681" xr:uid="{D9F85D77-6ABF-410F-AC01-89AAD908FEA7}"/>
    <cellStyle name="Comma 168 3" xfId="184" xr:uid="{51E2C815-CE8E-4C98-BA51-C0CCDFD99FBF}"/>
    <cellStyle name="Comma 168 3 2" xfId="1894" xr:uid="{9639DCE9-F18D-4F45-B7FC-CF6675A3E5D0}"/>
    <cellStyle name="Comma 168 3 3" xfId="2979" xr:uid="{0FFB7877-251B-4C52-A887-6F3DB86B5734}"/>
    <cellStyle name="Comma 168 4" xfId="1892" xr:uid="{A41B8203-3210-486F-99F2-E3DEBB6DAD5F}"/>
    <cellStyle name="Comma 168 5" xfId="2680" xr:uid="{63BC6C7B-F525-4636-8F4F-7A3D0F02A6D7}"/>
    <cellStyle name="Comma 169" xfId="185" xr:uid="{9E722DFB-8A9C-4834-89F1-19648EF9BF8A}"/>
    <cellStyle name="Comma 169 2" xfId="1895" xr:uid="{B22BC192-9172-4EDB-B506-A6815AB36B90}"/>
    <cellStyle name="Comma 169 3" xfId="2682" xr:uid="{9982562F-6C11-4860-9EAD-9715FAA85745}"/>
    <cellStyle name="Comma 17" xfId="186" xr:uid="{AB8573CB-8634-43FD-A706-5CC8BD349B2F}"/>
    <cellStyle name="Comma 17 2" xfId="1896" xr:uid="{22BF495D-4744-4589-BEB3-A0A4FB6C1AF3}"/>
    <cellStyle name="Comma 170" xfId="187" xr:uid="{E339E52B-3E1D-4A68-A172-8376BC6BFA24}"/>
    <cellStyle name="Comma 170 2" xfId="188" xr:uid="{A9E08866-AB4F-4E6B-A137-27C98E212D3B}"/>
    <cellStyle name="Comma 170 2 2" xfId="1898" xr:uid="{0AB4A9C6-AEC6-4EE9-9FB8-C389A93682D7}"/>
    <cellStyle name="Comma 170 2 3" xfId="2684" xr:uid="{7C69D2B5-8264-434C-BCD8-E54AA6497DAC}"/>
    <cellStyle name="Comma 170 3" xfId="189" xr:uid="{1EFC0617-2E64-4C48-8038-65BF3D4EA174}"/>
    <cellStyle name="Comma 170 3 2" xfId="1899" xr:uid="{7D6FD905-1D97-455C-9969-6912E6B3DB1F}"/>
    <cellStyle name="Comma 170 3 3" xfId="2980" xr:uid="{3F210076-FB77-40E0-BF25-B8D70ADC676E}"/>
    <cellStyle name="Comma 170 4" xfId="1897" xr:uid="{E1455C7E-BC67-4C10-850D-BA192E644F5D}"/>
    <cellStyle name="Comma 170 5" xfId="2683" xr:uid="{33D38C02-7642-469D-B9ED-12FDFAF97653}"/>
    <cellStyle name="Comma 171" xfId="190" xr:uid="{9C1DDA00-838B-4F47-A389-877228B2EA68}"/>
    <cellStyle name="Comma 171 2" xfId="191" xr:uid="{9CE771B1-95CD-43A4-A104-06A640CE3DC8}"/>
    <cellStyle name="Comma 171 2 2" xfId="1901" xr:uid="{751BAC86-D2E1-4F14-9AFC-291BBA91CD72}"/>
    <cellStyle name="Comma 171 2 3" xfId="2686" xr:uid="{8F7A7450-8814-4D0E-9738-4C632398A399}"/>
    <cellStyle name="Comma 171 3" xfId="192" xr:uid="{87B43D38-723F-4A74-8BDB-FA1753CE9CE9}"/>
    <cellStyle name="Comma 171 3 2" xfId="1902" xr:uid="{63721B83-8D7D-4F1A-B731-2949F7B5C1B9}"/>
    <cellStyle name="Comma 171 3 3" xfId="2981" xr:uid="{F97A6389-54EF-44E8-8C96-5F20DA4CD8F8}"/>
    <cellStyle name="Comma 171 4" xfId="1900" xr:uid="{A455C235-52B4-4E9A-A5F5-B68DBD436465}"/>
    <cellStyle name="Comma 171 5" xfId="2685" xr:uid="{C5F94404-A17A-4A74-B806-AB3DE0D50DDA}"/>
    <cellStyle name="Comma 172" xfId="193" xr:uid="{C4B678F3-77BC-4E72-85AF-0403C9FB9501}"/>
    <cellStyle name="Comma 172 2" xfId="194" xr:uid="{BFC7A295-BA21-4432-A59C-DAC10EB47B30}"/>
    <cellStyle name="Comma 172 2 2" xfId="1904" xr:uid="{4E0C9167-C2B3-4EBC-B0E8-255B4BCADD07}"/>
    <cellStyle name="Comma 172 2 3" xfId="2688" xr:uid="{FFD95F9F-DE78-42F6-916F-908B802C2636}"/>
    <cellStyle name="Comma 172 3" xfId="195" xr:uid="{1EA168D0-B34A-4759-80B7-36A7AD53FD20}"/>
    <cellStyle name="Comma 172 3 2" xfId="1905" xr:uid="{BC375E78-6714-497A-AD57-4E3BA549D783}"/>
    <cellStyle name="Comma 172 3 3" xfId="2982" xr:uid="{E04289E1-3B8C-4460-ADCF-828345A4AC95}"/>
    <cellStyle name="Comma 172 4" xfId="1903" xr:uid="{0C142590-12CD-4260-A341-74801F3E71F5}"/>
    <cellStyle name="Comma 172 5" xfId="2687" xr:uid="{18F1BDC8-2BC0-4CD2-B3E2-F399606A55C6}"/>
    <cellStyle name="Comma 173" xfId="196" xr:uid="{36D5069B-EE94-44F6-85F3-CF8DD1B5D89F}"/>
    <cellStyle name="Comma 173 2" xfId="197" xr:uid="{99F083F4-6A61-40F9-AF24-F2913FBA753B}"/>
    <cellStyle name="Comma 173 2 2" xfId="1907" xr:uid="{CE05876A-5F44-4075-AEE7-617172C9DBF6}"/>
    <cellStyle name="Comma 173 2 3" xfId="2690" xr:uid="{6733BAE8-F96E-4C47-B5E3-E5807C4AF6BD}"/>
    <cellStyle name="Comma 173 3" xfId="198" xr:uid="{9CA3E0CC-4763-4291-B141-8EDA761EE7D5}"/>
    <cellStyle name="Comma 173 3 2" xfId="1908" xr:uid="{4AFF4D0B-383A-4232-96DE-3970209FB4DE}"/>
    <cellStyle name="Comma 173 3 3" xfId="2983" xr:uid="{F8798718-77BA-42D3-B2A2-9C65097BD92D}"/>
    <cellStyle name="Comma 173 4" xfId="1906" xr:uid="{577E9B68-389E-43D9-AA52-412DA70F3A2F}"/>
    <cellStyle name="Comma 173 5" xfId="2689" xr:uid="{19EB6093-7BC6-427C-8771-42BB598715C6}"/>
    <cellStyle name="Comma 174" xfId="199" xr:uid="{610E9DE0-0860-41ED-AFE0-60A03FCA99AB}"/>
    <cellStyle name="Comma 174 2" xfId="1909" xr:uid="{021B2806-B81D-4A33-8FA4-C6E4A018928E}"/>
    <cellStyle name="Comma 174 3" xfId="2691" xr:uid="{95017B29-F3F9-47AA-A202-2B65DB5546EB}"/>
    <cellStyle name="Comma 175" xfId="200" xr:uid="{B743FF89-5AA6-4182-89F8-59CD0CEE7306}"/>
    <cellStyle name="Comma 175 2" xfId="1910" xr:uid="{2C909AE6-9410-415C-A119-2AC1B76C9567}"/>
    <cellStyle name="Comma 175 3" xfId="2692" xr:uid="{F26E334C-BB16-4B42-8FD7-3BE0860C122B}"/>
    <cellStyle name="Comma 176" xfId="201" xr:uid="{48384B40-B7DF-4739-801A-012FE11D8C28}"/>
    <cellStyle name="Comma 176 2" xfId="1911" xr:uid="{EEC45D9C-D4D2-43E0-BEF6-C9E782C843B3}"/>
    <cellStyle name="Comma 176 3" xfId="2693" xr:uid="{8F1440FA-EF7E-4D34-B210-0E7EE6B42900}"/>
    <cellStyle name="Comma 177" xfId="202" xr:uid="{0D8AFF9C-A0B6-4970-A120-FF9E584542AE}"/>
    <cellStyle name="Comma 177 2" xfId="1912" xr:uid="{8CA5ECAA-CE6F-461E-8180-6D5A2636E586}"/>
    <cellStyle name="Comma 177 3" xfId="2694" xr:uid="{DDED513D-C28E-4875-B1D0-058914072103}"/>
    <cellStyle name="Comma 178" xfId="203" xr:uid="{47014772-FA99-4754-8633-AC7D69C67AC6}"/>
    <cellStyle name="Comma 178 2" xfId="1913" xr:uid="{9EF05AE2-4417-4A65-8CC4-29C55BFE1619}"/>
    <cellStyle name="Comma 178 3" xfId="2695" xr:uid="{6854B2B2-229E-4AEB-9EC9-24260BAD5DE7}"/>
    <cellStyle name="Comma 179" xfId="204" xr:uid="{FD900348-26DC-482E-BEC7-056F6D42D939}"/>
    <cellStyle name="Comma 179 2" xfId="1914" xr:uid="{7D5970D6-5453-4DF4-B2DA-4F8F29C6ABC0}"/>
    <cellStyle name="Comma 179 3" xfId="2696" xr:uid="{39A6D953-0CB0-48CD-BB77-415007F2E269}"/>
    <cellStyle name="Comma 18" xfId="205" xr:uid="{4FA7E788-2F74-4BFA-B691-695E7DCB994D}"/>
    <cellStyle name="Comma 18 2" xfId="1915" xr:uid="{18275B7C-35DF-40AB-9101-EB0F2C069AF8}"/>
    <cellStyle name="Comma 180" xfId="206" xr:uid="{44EB90B7-E073-4E4C-ACE8-2B169145F50D}"/>
    <cellStyle name="Comma 180 2" xfId="1916" xr:uid="{B566BA7A-0388-4FAB-B712-D689A73A407F}"/>
    <cellStyle name="Comma 180 3" xfId="2697" xr:uid="{F940CAAF-CEFE-4F40-B64F-13895402B08E}"/>
    <cellStyle name="Comma 181" xfId="207" xr:uid="{020CD157-65D7-4801-B71E-7D625B7E37FD}"/>
    <cellStyle name="Comma 181 2" xfId="1917" xr:uid="{A777E2D5-C0A4-4FC4-BD22-C8D093E10699}"/>
    <cellStyle name="Comma 181 3" xfId="2698" xr:uid="{5C949F9A-D41C-4ED1-96DD-09728D237F2C}"/>
    <cellStyle name="Comma 182" xfId="208" xr:uid="{CE03E884-A380-48C8-8323-FB5F45003053}"/>
    <cellStyle name="Comma 182 2" xfId="1918" xr:uid="{530DD677-B54F-421B-B2CF-779A372B954D}"/>
    <cellStyle name="Comma 182 3" xfId="2699" xr:uid="{6AE304C2-A13B-4839-97D9-0369CB660862}"/>
    <cellStyle name="Comma 183" xfId="209" xr:uid="{43F8E0D7-A513-4746-9F00-5DD1C431DCAC}"/>
    <cellStyle name="Comma 183 2" xfId="1919" xr:uid="{83E07B8D-1573-42C4-ACA4-1527095D1EC7}"/>
    <cellStyle name="Comma 183 3" xfId="2700" xr:uid="{05C2D552-E5E4-4551-ADA9-FF89431D974C}"/>
    <cellStyle name="Comma 184" xfId="210" xr:uid="{C19C7C6C-BBC2-438C-924B-4707DF89A9B7}"/>
    <cellStyle name="Comma 184 2" xfId="1920" xr:uid="{F5139028-727E-4AA3-AC72-F87AB57B9072}"/>
    <cellStyle name="Comma 184 3" xfId="2701" xr:uid="{33A18574-0BF2-4232-AF33-C961C73BE257}"/>
    <cellStyle name="Comma 185" xfId="211" xr:uid="{76724046-0E0F-4276-9AB4-1F4EC2A97329}"/>
    <cellStyle name="Comma 185 2" xfId="1921" xr:uid="{AC045B86-1328-49DE-B039-919F19EF084D}"/>
    <cellStyle name="Comma 185 3" xfId="2702" xr:uid="{3B6DF012-C26B-4CE1-BD19-833CD8F1BFDC}"/>
    <cellStyle name="Comma 186" xfId="212" xr:uid="{865CACCB-46B6-4077-86DF-0E22DC60D36F}"/>
    <cellStyle name="Comma 186 2" xfId="1922" xr:uid="{27CD0B58-0D14-4629-8715-6F99A1038BE0}"/>
    <cellStyle name="Comma 186 3" xfId="2703" xr:uid="{2ED21C6B-8A85-4C15-A98C-A8E890068AC5}"/>
    <cellStyle name="Comma 187" xfId="213" xr:uid="{1D72F7E1-626D-48C7-9FCE-388CFACBE4D9}"/>
    <cellStyle name="Comma 187 2" xfId="1923" xr:uid="{BBB72D02-0358-4EC5-9D6D-D3C0DBD70501}"/>
    <cellStyle name="Comma 187 3" xfId="2704" xr:uid="{C8079B4B-4E30-4396-B2F1-5858997CE1E8}"/>
    <cellStyle name="Comma 188" xfId="214" xr:uid="{CD4CD3F1-7D71-4E83-82B3-75D68F35BAA6}"/>
    <cellStyle name="Comma 188 2" xfId="1924" xr:uid="{0DFCFE73-8CB0-43EC-BC9B-345A18C3BBDF}"/>
    <cellStyle name="Comma 188 3" xfId="2705" xr:uid="{277698F5-60DF-4A4C-96CA-D6BD15C98BDA}"/>
    <cellStyle name="Comma 189" xfId="215" xr:uid="{A7D50890-D29B-48ED-899C-A302C7373D02}"/>
    <cellStyle name="Comma 189 2" xfId="1925" xr:uid="{EF956FD4-7E4F-4529-9FD4-5E37AF703A4A}"/>
    <cellStyle name="Comma 189 3" xfId="2706" xr:uid="{3E924EE4-8728-47D4-956C-AF388AF731B7}"/>
    <cellStyle name="Comma 19" xfId="216" xr:uid="{913A483E-7A53-4530-A9CE-C0ED6867E0B8}"/>
    <cellStyle name="Comma 19 2" xfId="217" xr:uid="{655D8B15-CD8E-4183-8E62-0E9555AB8AD8}"/>
    <cellStyle name="Comma 19 2 2" xfId="1927" xr:uid="{4347E045-FE1F-459B-A1A0-E66726CAEB7C}"/>
    <cellStyle name="Comma 19 3" xfId="1926" xr:uid="{57416944-FF1C-4095-ADB6-BD6ECDBD75E5}"/>
    <cellStyle name="Comma 190" xfId="218" xr:uid="{AC8ADD8D-BA4F-4129-9C50-E31DEEC6395C}"/>
    <cellStyle name="Comma 190 2" xfId="1928" xr:uid="{A8C6EF1D-7113-445B-BA36-A4C49974540F}"/>
    <cellStyle name="Comma 190 3" xfId="2707" xr:uid="{AAB35638-05B5-4F4B-862D-006FC8F5E5B2}"/>
    <cellStyle name="Comma 191" xfId="219" xr:uid="{369210CA-1A0A-4A13-BE63-481F088BA450}"/>
    <cellStyle name="Comma 191 2" xfId="1929" xr:uid="{F195B9B1-0798-40C2-B55E-8B1134EE7E59}"/>
    <cellStyle name="Comma 191 3" xfId="2708" xr:uid="{E53B5221-7E84-4A58-AD5A-35A776888F86}"/>
    <cellStyle name="Comma 192" xfId="220" xr:uid="{21B4F0A8-9A6A-406A-972C-4CF0CC227191}"/>
    <cellStyle name="Comma 192 2" xfId="1930" xr:uid="{07B87287-B725-44B2-A24B-6AEA41C1DFF4}"/>
    <cellStyle name="Comma 192 3" xfId="2709" xr:uid="{EBBF61F3-434C-4545-9BD9-78378DF9593B}"/>
    <cellStyle name="Comma 193" xfId="221" xr:uid="{7243C9B3-6874-4B7D-B4E5-3754CE29DAA7}"/>
    <cellStyle name="Comma 193 2" xfId="1931" xr:uid="{6D3425F0-2902-4AEE-9FF7-235FCA75E7A8}"/>
    <cellStyle name="Comma 193 3" xfId="2710" xr:uid="{DC680C85-D2F5-4714-8E30-459DFD4F2CB6}"/>
    <cellStyle name="Comma 194" xfId="222" xr:uid="{848C9FBA-814C-4683-9289-5F2EEDF3C07F}"/>
    <cellStyle name="Comma 194 2" xfId="1932" xr:uid="{43D5A17E-F594-497B-A080-0A6EC24AA16C}"/>
    <cellStyle name="Comma 194 3" xfId="2711" xr:uid="{CFF0DA25-1656-4601-BEAB-A5FAD37F3793}"/>
    <cellStyle name="Comma 195" xfId="223" xr:uid="{809B5C32-3CBA-474D-824C-D374698E9EE2}"/>
    <cellStyle name="Comma 195 2" xfId="1933" xr:uid="{63450B6C-CDBC-4E5D-BFC6-9E91A9932054}"/>
    <cellStyle name="Comma 195 3" xfId="2598" xr:uid="{5358671F-17D5-43FE-AA85-D6DD988F7021}"/>
    <cellStyle name="Comma 196" xfId="224" xr:uid="{01C7D96C-2F55-4A01-9EC7-0AF4C2329832}"/>
    <cellStyle name="Comma 196 2" xfId="1934" xr:uid="{92992DF6-95D5-4E93-897F-E50B32E467C0}"/>
    <cellStyle name="Comma 196 3" xfId="2712" xr:uid="{9C6D998E-15A7-485E-8342-AC0A305082AD}"/>
    <cellStyle name="Comma 197" xfId="225" xr:uid="{C089DF2D-F8A8-4900-9224-B1891B06B8C1}"/>
    <cellStyle name="Comma 197 2" xfId="1935" xr:uid="{14E20E09-CE00-4E36-9B2B-C2776F23DEB9}"/>
    <cellStyle name="Comma 197 3" xfId="2713" xr:uid="{9E2F1872-C85D-4BA0-91AB-F1200B278A85}"/>
    <cellStyle name="Comma 198" xfId="226" xr:uid="{A4944C31-44F3-4168-A67F-B9EA54FA7792}"/>
    <cellStyle name="Comma 198 2" xfId="1936" xr:uid="{13666595-782A-446D-8BD5-1A1B8BD95A98}"/>
    <cellStyle name="Comma 198 3" xfId="2714" xr:uid="{D21AAE11-B893-4463-8222-5CF4DB8177BB}"/>
    <cellStyle name="Comma 199" xfId="227" xr:uid="{3B843A97-CE15-47E0-B99B-F8977ED51E51}"/>
    <cellStyle name="Comma 199 2" xfId="1937" xr:uid="{3FA91AAC-9721-4825-B47D-C228CD02E3A2}"/>
    <cellStyle name="Comma 199 3" xfId="2715" xr:uid="{432B47DB-D266-45AC-8617-C55F6E7EAC86}"/>
    <cellStyle name="Comma 2" xfId="228" xr:uid="{E3084C0E-DC5B-42D2-9B5A-A4B346A15963}"/>
    <cellStyle name="Comma 2 2" xfId="229" xr:uid="{96897DF2-5BD1-4298-9E9E-EF7816D1CC67}"/>
    <cellStyle name="Comma 2 2 2" xfId="230" xr:uid="{00A48567-2195-40D4-B1A7-D9D4469D286F}"/>
    <cellStyle name="Comma 2 2 2 2" xfId="231" xr:uid="{566339B3-A367-47BD-B3C1-1662C2C84900}"/>
    <cellStyle name="Comma 2 2 2 3" xfId="232" xr:uid="{27DCCB2E-29B2-4C05-BFFC-2ACEC8BC7B55}"/>
    <cellStyle name="Comma 2 2 3" xfId="233" xr:uid="{BD882314-4282-4A7C-A520-BD24FEC658DC}"/>
    <cellStyle name="Comma 2 2 4" xfId="234" xr:uid="{9C405150-691A-4A54-A7DB-3603FE5AF567}"/>
    <cellStyle name="Comma 2 2 4 2" xfId="1938" xr:uid="{1E609846-35A2-454D-A3F5-583BB61AAEC4}"/>
    <cellStyle name="Comma 2 2 4 3" xfId="2716" xr:uid="{3C494EC0-B9B7-416D-AA83-E3A220902624}"/>
    <cellStyle name="Comma 2 2 5" xfId="3067" xr:uid="{6CB62F9E-C7F2-4D41-BEA0-C42747BF8340}"/>
    <cellStyle name="Comma 2 3" xfId="235" xr:uid="{F163D082-2961-417E-BA27-38CCF8EFE4C4}"/>
    <cellStyle name="Comma 2 3 2" xfId="236" xr:uid="{55185FD2-8B03-4325-A05D-EF3A1B43A53E}"/>
    <cellStyle name="Comma 2 3 2 2" xfId="237" xr:uid="{6C4D9038-38D3-45B0-BE5B-CD815D9195B3}"/>
    <cellStyle name="Comma 2 3 2 2 2" xfId="238" xr:uid="{512D500D-9915-4F3E-8E34-CB03E7328AF7}"/>
    <cellStyle name="Comma 2 3 2 2 2 2" xfId="239" xr:uid="{C1550C0D-230D-4BAF-940F-1C117D3AAEB5}"/>
    <cellStyle name="Comma 2 3 2 2 2 2 2" xfId="1942" xr:uid="{E9128BD1-3562-40EC-A0AA-5B6EDAD10970}"/>
    <cellStyle name="Comma 2 3 2 2 2 3" xfId="1941" xr:uid="{7AE9CB0A-6B0C-40E5-8D0D-542BB7472330}"/>
    <cellStyle name="Comma 2 3 2 2 3" xfId="240" xr:uid="{7ADA1DA6-AFE0-4C24-A2F0-F1C76AC78633}"/>
    <cellStyle name="Comma 2 3 2 2 3 2" xfId="1943" xr:uid="{3C67A0AA-7529-4C01-B8A9-FD13D0E47B85}"/>
    <cellStyle name="Comma 2 3 2 2 4" xfId="1940" xr:uid="{3291AB2F-1C05-42CD-9C3C-B7ABCE0C6E37}"/>
    <cellStyle name="Comma 2 3 2 3" xfId="241" xr:uid="{DF6DC718-99F3-4FEB-8AC5-0305F7BF8076}"/>
    <cellStyle name="Comma 2 3 2 3 2" xfId="242" xr:uid="{514EBAE8-CC7B-47EF-A4AE-9AE3C2EFF654}"/>
    <cellStyle name="Comma 2 3 2 3 2 2" xfId="243" xr:uid="{500EED6B-6871-4F17-8A4C-D2D4F439C367}"/>
    <cellStyle name="Comma 2 3 2 3 2 2 2" xfId="1946" xr:uid="{AEA35D99-B6E2-4A0F-85A8-CDDA8ED3E374}"/>
    <cellStyle name="Comma 2 3 2 3 2 3" xfId="1945" xr:uid="{057F33C6-AAC3-437D-8575-DD6E85381EB6}"/>
    <cellStyle name="Comma 2 3 2 3 3" xfId="244" xr:uid="{E83A786D-6291-4BCE-9550-19272391356B}"/>
    <cellStyle name="Comma 2 3 2 3 3 2" xfId="1947" xr:uid="{33860198-E852-4BEE-A3B8-0E5144D3A68C}"/>
    <cellStyle name="Comma 2 3 2 3 4" xfId="1944" xr:uid="{538E3370-C0B2-489B-9EA8-95FFC374B842}"/>
    <cellStyle name="Comma 2 3 3" xfId="245" xr:uid="{A5DA1F83-0FAF-4B5A-B7EC-01E58DC8BEFD}"/>
    <cellStyle name="Comma 2 3 4" xfId="246" xr:uid="{BD37382D-FD73-4B18-B035-DB839270B5E8}"/>
    <cellStyle name="Comma 2 3 4 2" xfId="247" xr:uid="{0580BC17-9E2A-46DB-AB66-EA2040B61ED8}"/>
    <cellStyle name="Comma 2 3 4 2 2" xfId="1949" xr:uid="{F502692C-82FC-42E8-816C-4C2750240353}"/>
    <cellStyle name="Comma 2 3 4 3" xfId="1948" xr:uid="{50CD8320-E4D9-4DF4-ABA4-2864BDA33540}"/>
    <cellStyle name="Comma 2 3 5" xfId="248" xr:uid="{C90CA3E4-9370-4F30-B6EA-257B226BF699}"/>
    <cellStyle name="Comma 2 3 5 2" xfId="1950" xr:uid="{E7A0A011-36FB-4984-A7AA-0ED3AFAC147D}"/>
    <cellStyle name="Comma 2 3 6" xfId="1939" xr:uid="{03B08DA0-E7D7-4F1D-AA17-DCB3153FF52F}"/>
    <cellStyle name="Comma 2 4" xfId="249" xr:uid="{F4766C3D-D1F9-4ACA-B293-53C4CE3BD0B9}"/>
    <cellStyle name="Comma 2 5" xfId="250" xr:uid="{39DF4CCE-BF05-415D-8243-2750FE4D9B85}"/>
    <cellStyle name="Comma 2 5 2" xfId="1951" xr:uid="{EB186941-9F8E-4F9B-896B-0A4AE9B161CB}"/>
    <cellStyle name="Comma 2 5 3" xfId="2717" xr:uid="{DE1D2EB2-F8BB-4480-8017-9DA158CB2676}"/>
    <cellStyle name="Comma 2 6" xfId="251" xr:uid="{561DE539-A4FD-4775-874B-0CB5AA372181}"/>
    <cellStyle name="Comma 2 7" xfId="252" xr:uid="{D710B480-9F5B-4801-A811-79BE2CC48BBA}"/>
    <cellStyle name="Comma 2 8" xfId="3059" xr:uid="{43B7EA7B-0480-40B6-BADD-69C3242EF8B9}"/>
    <cellStyle name="Comma 2 9" xfId="253" xr:uid="{B8B62001-8836-462D-9D2D-1ADE24146A40}"/>
    <cellStyle name="Comma 2 9 2" xfId="1952" xr:uid="{4CA795A6-E62C-4910-9F61-4599D5CF7063}"/>
    <cellStyle name="Comma 20" xfId="254" xr:uid="{E79D80FB-110B-4DFB-919D-D2301BE82E32}"/>
    <cellStyle name="Comma 20 2" xfId="255" xr:uid="{34AFB293-E555-4F27-B887-EE8CF505EEB8}"/>
    <cellStyle name="Comma 20 2 2" xfId="1954" xr:uid="{6700987B-F8D8-4275-B014-B143D9282746}"/>
    <cellStyle name="Comma 20 3" xfId="1953" xr:uid="{C8F48489-8613-4F48-AA50-15855FDB1F9D}"/>
    <cellStyle name="Comma 200" xfId="256" xr:uid="{ACD83D03-542D-4C38-8667-10E9053F21C5}"/>
    <cellStyle name="Comma 200 2" xfId="1955" xr:uid="{50D05523-E792-4E0B-BE23-217642172D7F}"/>
    <cellStyle name="Comma 200 3" xfId="2718" xr:uid="{3C349182-7304-4C67-B6C1-23190DB018A2}"/>
    <cellStyle name="Comma 201" xfId="257" xr:uid="{2A8F8F83-2E5C-4BBA-9E91-4FCAF44F9DE1}"/>
    <cellStyle name="Comma 201 2" xfId="1956" xr:uid="{00C81882-BEC3-40BF-B307-FC96A444F0CB}"/>
    <cellStyle name="Comma 201 3" xfId="2719" xr:uid="{FF918BE9-939B-4584-A1D6-31C4F5295DA3}"/>
    <cellStyle name="Comma 202" xfId="258" xr:uid="{CDC1540E-A9B7-4287-AE93-22A469BFE102}"/>
    <cellStyle name="Comma 202 2" xfId="1957" xr:uid="{1BCA4020-BDE2-4BEA-B28D-55EE64CACF28}"/>
    <cellStyle name="Comma 202 3" xfId="2720" xr:uid="{D7F3BBE4-0154-451C-94FA-172D4113FCBC}"/>
    <cellStyle name="Comma 203" xfId="259" xr:uid="{B452438D-9E2C-4BBD-AA73-7DABC593C1C2}"/>
    <cellStyle name="Comma 203 2" xfId="1958" xr:uid="{2517E3A2-F505-47D1-B804-36E60AD8FD7C}"/>
    <cellStyle name="Comma 203 3" xfId="2721" xr:uid="{AD934E0D-DC0C-47C7-BCB4-4419D5A7B00E}"/>
    <cellStyle name="Comma 204" xfId="260" xr:uid="{EA26A674-0EEF-4CD8-BA60-86E5A52C8BB7}"/>
    <cellStyle name="Comma 204 2" xfId="1959" xr:uid="{A3FA40AF-DF38-492A-B2C4-3B2EDD1F5221}"/>
    <cellStyle name="Comma 204 3" xfId="2722" xr:uid="{086F3466-A33B-46FD-A72E-65A288A02663}"/>
    <cellStyle name="Comma 205" xfId="261" xr:uid="{EC24A26E-78DD-4742-9276-2809FDA1B3FD}"/>
    <cellStyle name="Comma 205 2" xfId="1960" xr:uid="{20D937FE-798D-4662-B6F4-B6145B5201BD}"/>
    <cellStyle name="Comma 205 3" xfId="2723" xr:uid="{8F4DCD36-8AF5-44E9-8257-D2AF0105E477}"/>
    <cellStyle name="Comma 206" xfId="262" xr:uid="{30E1D76E-4292-43FE-9368-9DB8E201C1B1}"/>
    <cellStyle name="Comma 206 2" xfId="1961" xr:uid="{04090214-9190-4CB0-9D0D-9E6BBCE0A45B}"/>
    <cellStyle name="Comma 206 3" xfId="2724" xr:uid="{8E2F8F7F-2273-4FCC-8931-4095351FF75C}"/>
    <cellStyle name="Comma 207" xfId="263" xr:uid="{2D6A7A27-7682-4665-810C-EC47567ECE3E}"/>
    <cellStyle name="Comma 207 2" xfId="1962" xr:uid="{F30AF761-55FC-4D82-B51E-78D49E366559}"/>
    <cellStyle name="Comma 207 3" xfId="2725" xr:uid="{C21FF3AA-246B-4F82-8569-011E840421FA}"/>
    <cellStyle name="Comma 208" xfId="264" xr:uid="{8BA6AE02-8398-45AF-89D5-626973F9702E}"/>
    <cellStyle name="Comma 208 2" xfId="1963" xr:uid="{658A735E-3BD2-4547-8ADF-22C08D23BDE9}"/>
    <cellStyle name="Comma 208 3" xfId="2726" xr:uid="{1C2A43E8-81BF-488D-A03D-6909203647DA}"/>
    <cellStyle name="Comma 209" xfId="265" xr:uid="{39F5EB27-C79D-4C9B-BB2C-6C48C2356230}"/>
    <cellStyle name="Comma 209 2" xfId="1964" xr:uid="{AEEE1862-44BE-4A9D-B017-5CE93E982CA6}"/>
    <cellStyle name="Comma 209 3" xfId="2727" xr:uid="{E0D4731E-CF88-4B55-BDFE-A591FF579531}"/>
    <cellStyle name="Comma 21" xfId="266" xr:uid="{87CF939F-D194-4480-A8BA-6A713534A9E3}"/>
    <cellStyle name="Comma 21 2" xfId="267" xr:uid="{7402341A-9F48-4EF3-8207-B511F0F9EF91}"/>
    <cellStyle name="Comma 21 2 2" xfId="1966" xr:uid="{C1E9D736-D671-4386-BA75-CFB27715F59B}"/>
    <cellStyle name="Comma 21 3" xfId="1965" xr:uid="{60FA4AE0-60A7-4CD7-85E1-FE2D5A282328}"/>
    <cellStyle name="Comma 210" xfId="268" xr:uid="{1304B672-70E7-467E-A7FA-56E95823E2E8}"/>
    <cellStyle name="Comma 210 2" xfId="1967" xr:uid="{472BB333-889D-4147-9E04-AE8BC8FFD9ED}"/>
    <cellStyle name="Comma 210 3" xfId="2728" xr:uid="{F3952BA8-0551-4886-939C-2C96AC0AF465}"/>
    <cellStyle name="Comma 211" xfId="269" xr:uid="{350381B8-C6F4-40CB-8D85-A9D34DEE099E}"/>
    <cellStyle name="Comma 211 2" xfId="1968" xr:uid="{44833B5F-9093-489E-ACA2-9240FB9B8B24}"/>
    <cellStyle name="Comma 211 3" xfId="2729" xr:uid="{EE9B52E5-FA03-429F-B62D-4C95CAADDB86}"/>
    <cellStyle name="Comma 212" xfId="270" xr:uid="{2F8B1F12-0F14-4B55-83F9-FE00F70B6C7A}"/>
    <cellStyle name="Comma 212 2" xfId="1969" xr:uid="{7E54D3B4-DD90-41D1-BAED-B52BE0A9D49D}"/>
    <cellStyle name="Comma 212 3" xfId="2730" xr:uid="{A58C67F7-7EDE-44F7-981B-FF8BEBCB2FD6}"/>
    <cellStyle name="Comma 213" xfId="271" xr:uid="{9D0010B4-9736-406F-B7A1-0915DB5FD140}"/>
    <cellStyle name="Comma 214" xfId="272" xr:uid="{F41B9A8A-A5E9-40C3-A748-C0E8D2B9C1D4}"/>
    <cellStyle name="Comma 214 2" xfId="1970" xr:uid="{703AE1CA-7469-43F3-BFBE-1A0B869F5735}"/>
    <cellStyle name="Comma 214 3" xfId="2731" xr:uid="{A36C3A3C-067B-40A6-9A2E-4F393BB2CEFC}"/>
    <cellStyle name="Comma 215" xfId="273" xr:uid="{BD57D0F4-A0AD-4332-9ACB-A27038E5C7C9}"/>
    <cellStyle name="Comma 215 2" xfId="1971" xr:uid="{7132E55E-DE10-4D15-A848-AAEAE25E44ED}"/>
    <cellStyle name="Comma 215 3" xfId="2732" xr:uid="{AFA8EDB1-1B71-49BB-BCA8-84547CC77A94}"/>
    <cellStyle name="Comma 216" xfId="274" xr:uid="{D62C51F1-D1C6-4A98-85F5-C8A6D2D769CD}"/>
    <cellStyle name="Comma 216 2" xfId="1972" xr:uid="{5D28E664-189B-42E0-A7C2-4FE125982EF6}"/>
    <cellStyle name="Comma 216 3" xfId="2733" xr:uid="{3483E016-2F92-4ABF-8E9C-D26BF931B68F}"/>
    <cellStyle name="Comma 217" xfId="275" xr:uid="{1D99CD99-98BB-4886-86CE-34ED25AF30C9}"/>
    <cellStyle name="Comma 217 2" xfId="1973" xr:uid="{999F7047-CF04-4138-8B96-0F346E953878}"/>
    <cellStyle name="Comma 217 3" xfId="2734" xr:uid="{FF153CB9-7B52-488C-A436-29486AADE781}"/>
    <cellStyle name="Comma 218" xfId="276" xr:uid="{D25707E0-8DF7-4316-B5DE-5D36DBD9CED9}"/>
    <cellStyle name="Comma 218 2" xfId="1974" xr:uid="{EC6AB241-B194-48AC-BBA3-7668967A7FCA}"/>
    <cellStyle name="Comma 218 3" xfId="2735" xr:uid="{E308A646-1059-470E-B61E-5F4FD048AF8C}"/>
    <cellStyle name="Comma 219" xfId="277" xr:uid="{937915C6-7956-4075-9ECF-7CB05C5FA11D}"/>
    <cellStyle name="Comma 219 2" xfId="1975" xr:uid="{C76308C1-9FF7-4466-89B4-4F4D232F1B34}"/>
    <cellStyle name="Comma 219 3" xfId="2736" xr:uid="{3FCA4743-2C7B-4E40-90A1-6944C9D94D8C}"/>
    <cellStyle name="Comma 22" xfId="278" xr:uid="{1C6CAAC6-E603-44D2-97F6-34157E854738}"/>
    <cellStyle name="Comma 22 2" xfId="279" xr:uid="{FA4EF034-CC1B-4FEF-8CB9-585A110AFBAC}"/>
    <cellStyle name="Comma 22 2 2" xfId="1977" xr:uid="{67B7F1D9-131B-4B59-B52E-CEDFD44550F0}"/>
    <cellStyle name="Comma 22 3" xfId="1976" xr:uid="{5BD5DCAF-5CFF-4292-BAD3-9C9FFEC3EE40}"/>
    <cellStyle name="Comma 220" xfId="280" xr:uid="{4B3D7992-569E-4C6F-BCB6-77A596742E01}"/>
    <cellStyle name="Comma 220 2" xfId="1978" xr:uid="{A5430E01-06A2-486C-BE1C-17DA6DC8CF28}"/>
    <cellStyle name="Comma 220 3" xfId="2737" xr:uid="{8D14BAC2-75D2-41D0-994C-D162C2080C69}"/>
    <cellStyle name="Comma 221" xfId="281" xr:uid="{1F5EBCBE-6C5A-44E9-AA70-FEECC3ADEDF0}"/>
    <cellStyle name="Comma 221 2" xfId="1979" xr:uid="{C40A52F5-B9DB-4B2F-AADD-1948DCF736EE}"/>
    <cellStyle name="Comma 221 3" xfId="2738" xr:uid="{99D24CF5-FC73-4BD1-BE3C-F2638E9AC85D}"/>
    <cellStyle name="Comma 222" xfId="282" xr:uid="{B4231FC1-5BC6-430A-BB55-61CBE487D106}"/>
    <cellStyle name="Comma 222 2" xfId="1980" xr:uid="{9578BA26-70B7-403F-B3BC-1F6EB8C58138}"/>
    <cellStyle name="Comma 222 3" xfId="2739" xr:uid="{08415B1D-A53D-4D90-82C9-48DEEFB355B6}"/>
    <cellStyle name="Comma 223" xfId="283" xr:uid="{9CB12BAF-5C31-48F7-A9AC-A4C385883B70}"/>
    <cellStyle name="Comma 223 2" xfId="1981" xr:uid="{B77117AD-A671-49B6-ABB4-C1811AB85B08}"/>
    <cellStyle name="Comma 223 3" xfId="2740" xr:uid="{1E8F8AB5-34A1-41A9-B458-85D008B9C7CA}"/>
    <cellStyle name="Comma 224" xfId="284" xr:uid="{0E59E1C4-1864-4649-9685-2DCEB7A23A9F}"/>
    <cellStyle name="Comma 224 2" xfId="1982" xr:uid="{557CC762-42B9-47D0-9030-0234BE12E999}"/>
    <cellStyle name="Comma 224 3" xfId="2741" xr:uid="{EE39C488-CF2B-4C13-9114-50482AD3B70D}"/>
    <cellStyle name="Comma 225" xfId="285" xr:uid="{37C42588-9C70-40ED-88F4-6FF1C1C70A04}"/>
    <cellStyle name="Comma 225 2" xfId="1983" xr:uid="{8DED56D6-C1E3-4EBE-8AC9-67589A8AAAB0}"/>
    <cellStyle name="Comma 225 3" xfId="2742" xr:uid="{DBDF7F77-2AA2-48A7-9DB9-EB03DFE57313}"/>
    <cellStyle name="Comma 226" xfId="286" xr:uid="{164B690D-9A71-440D-ABEF-29E13E35A454}"/>
    <cellStyle name="Comma 226 2" xfId="1984" xr:uid="{CFB61220-D618-4828-BE3A-1F3175C5697E}"/>
    <cellStyle name="Comma 226 3" xfId="2743" xr:uid="{F0870DC7-5FBD-4A13-A99A-B85E5614B805}"/>
    <cellStyle name="Comma 227" xfId="287" xr:uid="{F1B70FC7-8A8E-406C-9AA6-D692C0E671D7}"/>
    <cellStyle name="Comma 227 2" xfId="1985" xr:uid="{FF07961D-DD3A-4700-820C-98C78F87BD7F}"/>
    <cellStyle name="Comma 227 3" xfId="2744" xr:uid="{132444E3-A8FE-4F59-8CB2-FCBD1715381A}"/>
    <cellStyle name="Comma 228" xfId="288" xr:uid="{39AD2B58-DD1A-4984-A213-91F5E0627A8C}"/>
    <cellStyle name="Comma 228 2" xfId="1986" xr:uid="{009C726D-230E-4B73-AD56-84EF295BE34E}"/>
    <cellStyle name="Comma 228 3" xfId="2745" xr:uid="{15E609E5-53AF-4456-A4CD-A1F453033DE8}"/>
    <cellStyle name="Comma 229" xfId="289" xr:uid="{05D0A70A-086E-4484-AA66-6B7CBF8CDE97}"/>
    <cellStyle name="Comma 229 2" xfId="1987" xr:uid="{EC02EB7E-1041-4D68-8B20-74A4DDB2D474}"/>
    <cellStyle name="Comma 229 3" xfId="2746" xr:uid="{59731709-9553-474A-A7B2-C74D8C429F12}"/>
    <cellStyle name="Comma 23" xfId="290" xr:uid="{0770182F-ECD7-4E61-8D83-A1CB72E5D1C9}"/>
    <cellStyle name="Comma 23 2" xfId="291" xr:uid="{505A7B95-368B-40C6-9C7C-A1D9DF1C3E17}"/>
    <cellStyle name="Comma 23 2 2" xfId="1989" xr:uid="{005BFC7D-511A-414A-AE20-5B4B0C70E723}"/>
    <cellStyle name="Comma 23 3" xfId="1988" xr:uid="{E5B48398-5247-4262-AE60-FFDE8D3569FF}"/>
    <cellStyle name="Comma 230" xfId="292" xr:uid="{0D089771-5CF7-49BE-8A79-D0AC99B3B709}"/>
    <cellStyle name="Comma 230 2" xfId="1990" xr:uid="{E9973978-D940-441E-919D-E74E7DA23B7C}"/>
    <cellStyle name="Comma 230 3" xfId="2747" xr:uid="{6388ECF1-897B-473B-B25B-C11E62DABCFE}"/>
    <cellStyle name="Comma 231" xfId="293" xr:uid="{BBCB29A6-E80E-4A0D-B0EC-D0E020B1A073}"/>
    <cellStyle name="Comma 231 2" xfId="1991" xr:uid="{A7ED156A-DF4C-473D-A17E-7D8FEA8EF290}"/>
    <cellStyle name="Comma 231 3" xfId="2748" xr:uid="{6BDB2D60-E777-4B7C-BFD0-D32A562311B8}"/>
    <cellStyle name="Comma 232" xfId="294" xr:uid="{36848E4B-69AE-4A82-AB0D-EA05A252AEE2}"/>
    <cellStyle name="Comma 232 2" xfId="1992" xr:uid="{E29AEAAF-31C1-4140-BB5E-D6B19588B574}"/>
    <cellStyle name="Comma 232 3" xfId="2749" xr:uid="{C7B78A0D-A4B4-452F-9889-D3201A03DBE8}"/>
    <cellStyle name="Comma 233" xfId="295" xr:uid="{5C974C1E-4CC7-4D67-AF38-2009B5735852}"/>
    <cellStyle name="Comma 233 2" xfId="1993" xr:uid="{5358AC5A-77D9-4860-8B02-481ABC6B4C74}"/>
    <cellStyle name="Comma 233 3" xfId="2750" xr:uid="{C755AC25-1844-43CE-89BA-44A26FB96146}"/>
    <cellStyle name="Comma 234" xfId="296" xr:uid="{9B101A1A-9AD5-4854-AB96-B803BD326F33}"/>
    <cellStyle name="Comma 234 2" xfId="1994" xr:uid="{B99D6685-4CD9-440A-9943-A5F7F2C4F18F}"/>
    <cellStyle name="Comma 234 3" xfId="2751" xr:uid="{EDD0B27D-0CA8-44AA-B92F-EB8DFAD667D9}"/>
    <cellStyle name="Comma 235" xfId="297" xr:uid="{7C9FA9E2-7048-466F-9387-78342E0038E8}"/>
    <cellStyle name="Comma 235 2" xfId="1995" xr:uid="{0B1C5D65-AA0E-4269-B8B0-54BB76A5C39D}"/>
    <cellStyle name="Comma 235 3" xfId="2752" xr:uid="{826DBB4D-9A3F-4879-962C-5B2EDDFFA62E}"/>
    <cellStyle name="Comma 236" xfId="298" xr:uid="{5927281B-A0EE-4500-A359-D847B5C70A52}"/>
    <cellStyle name="Comma 236 2" xfId="1996" xr:uid="{84673F9C-13E9-4CC5-AF6C-C2BF8CE225EF}"/>
    <cellStyle name="Comma 236 3" xfId="2753" xr:uid="{EE2F9828-3763-4435-B199-94E414D9E304}"/>
    <cellStyle name="Comma 237" xfId="299" xr:uid="{5CA772E9-883E-4E32-A359-DE74E95C6E6E}"/>
    <cellStyle name="Comma 237 2" xfId="1997" xr:uid="{43661C4E-610A-46D6-824F-A742F911044E}"/>
    <cellStyle name="Comma 237 3" xfId="2754" xr:uid="{0CD7A47D-FF20-4434-8543-2CCA53285A26}"/>
    <cellStyle name="Comma 238" xfId="300" xr:uid="{A59945F8-6DB8-4E58-915F-806CB73355F2}"/>
    <cellStyle name="Comma 238 2" xfId="1998" xr:uid="{A0900BAC-6061-4197-A83E-DB498D110B65}"/>
    <cellStyle name="Comma 238 3" xfId="2755" xr:uid="{C3594164-AEF3-4330-BC8E-7CB1FB4C6AF5}"/>
    <cellStyle name="Comma 239" xfId="301" xr:uid="{DE89A1D2-C712-4F3E-A5A2-D55E9A690BFC}"/>
    <cellStyle name="Comma 239 2" xfId="1999" xr:uid="{B22AE6B0-A8BE-454C-A49B-0DEFBC148764}"/>
    <cellStyle name="Comma 24" xfId="302" xr:uid="{EEC52BFD-8FCC-429A-9632-E9A30D0B74A8}"/>
    <cellStyle name="Comma 24 2" xfId="303" xr:uid="{A49332D0-14DA-47F1-84DB-21A4F057AE74}"/>
    <cellStyle name="Comma 24 2 2" xfId="2001" xr:uid="{C0800469-F123-4F6E-AD3F-45B95FFF02E4}"/>
    <cellStyle name="Comma 24 3" xfId="2000" xr:uid="{E4B1FB31-084C-45A5-A43D-93964844E7F6}"/>
    <cellStyle name="Comma 240" xfId="304" xr:uid="{405B35ED-CB06-4D16-B020-46AD13A36373}"/>
    <cellStyle name="Comma 240 2" xfId="2002" xr:uid="{C412F052-B737-461C-A589-C1C0504559C1}"/>
    <cellStyle name="Comma 241" xfId="305" xr:uid="{A9EEB977-B94F-435B-B36C-29E11EAFCA45}"/>
    <cellStyle name="Comma 241 2" xfId="2003" xr:uid="{53291BEE-7117-4987-9F02-DF7A7C060A66}"/>
    <cellStyle name="Comma 242" xfId="306" xr:uid="{56E9DEA7-43AC-4044-9BD1-7028637BC5A7}"/>
    <cellStyle name="Comma 242 2" xfId="2004" xr:uid="{EE8CF638-E427-40FA-AE58-13426EAA946C}"/>
    <cellStyle name="Comma 243" xfId="307" xr:uid="{249DF3B6-6D35-43EC-A7A5-5F87B520E193}"/>
    <cellStyle name="Comma 243 2" xfId="2005" xr:uid="{54C51A38-4814-4CC7-9AAC-BFA38FC337D9}"/>
    <cellStyle name="Comma 244" xfId="308" xr:uid="{483A22EE-1C70-4F39-B528-6A78D1D9FEEC}"/>
    <cellStyle name="Comma 244 2" xfId="2006" xr:uid="{25177755-7FF4-4EAD-AE84-9C3B10073B6F}"/>
    <cellStyle name="Comma 244 2 2" xfId="3056" xr:uid="{7C1E0CD6-C226-495C-BA37-E7D5721B5EF8}"/>
    <cellStyle name="Comma 244 3" xfId="2596" xr:uid="{62904200-3BE2-4DF9-8A5D-234A052FEAA1}"/>
    <cellStyle name="Comma 245" xfId="74" xr:uid="{2971A50A-5EB2-4413-BA27-297CBA0D2603}"/>
    <cellStyle name="Comma 246" xfId="1795" xr:uid="{9A9D8C44-DD7B-41BF-9EAA-3ECAC9D8F534}"/>
    <cellStyle name="Comma 25" xfId="309" xr:uid="{2C94A365-FDF8-4947-9BAB-BEF7E6D6EB67}"/>
    <cellStyle name="Comma 25 2" xfId="310" xr:uid="{52C2E28A-1B29-405E-9FD3-BC565909A6A0}"/>
    <cellStyle name="Comma 25 2 2" xfId="2008" xr:uid="{3102C7E9-9BDD-4EFA-A693-18840A197082}"/>
    <cellStyle name="Comma 25 3" xfId="2007" xr:uid="{B948A9E2-1984-4A57-A683-F8390E0E2B5D}"/>
    <cellStyle name="Comma 258" xfId="311" xr:uid="{8BD4DC37-058A-4699-A1E4-A0F5B1B378EC}"/>
    <cellStyle name="Comma 258 2" xfId="2009" xr:uid="{96918523-E900-403B-98BA-0A3C7AC523A7}"/>
    <cellStyle name="Comma 259" xfId="312" xr:uid="{0E5CFAC8-1B50-4CE7-8F72-5E0E027A19F5}"/>
    <cellStyle name="Comma 259 2" xfId="2010" xr:uid="{687940EC-954F-44CB-8AF9-C16F1AE72E2D}"/>
    <cellStyle name="Comma 26" xfId="313" xr:uid="{ED8C7EBB-B6C4-439C-AB27-0799A9A8B546}"/>
    <cellStyle name="Comma 26 2" xfId="314" xr:uid="{6E480D6D-7BDF-41FA-8AAC-C2DAB453B02D}"/>
    <cellStyle name="Comma 26 2 2" xfId="2012" xr:uid="{2046A9C6-BE5D-47D4-885D-F724EF536AB8}"/>
    <cellStyle name="Comma 26 3" xfId="2011" xr:uid="{CCB029A3-C324-4593-9612-F29619543E29}"/>
    <cellStyle name="Comma 261" xfId="315" xr:uid="{224DDA15-2277-46F5-B4F2-1337820F172D}"/>
    <cellStyle name="Comma 261 2" xfId="2013" xr:uid="{5E9E539B-3A3D-46BA-ACE1-EE6A7C85C05F}"/>
    <cellStyle name="Comma 27" xfId="316" xr:uid="{F84F5562-3524-480F-BCC3-58EC0DD63993}"/>
    <cellStyle name="Comma 27 2" xfId="317" xr:uid="{5B79800B-B47D-453A-8C4B-E224E5A08C52}"/>
    <cellStyle name="Comma 27 2 2" xfId="2015" xr:uid="{37687887-6FFE-46B4-879C-E6D2F36E283D}"/>
    <cellStyle name="Comma 27 3" xfId="2014" xr:uid="{C336B3F2-ED73-4AD0-911B-F9690B7C1CF1}"/>
    <cellStyle name="Comma 273" xfId="318" xr:uid="{714A3792-61AE-4CF0-916A-2D68D78B0302}"/>
    <cellStyle name="Comma 273 2" xfId="2016" xr:uid="{76A4BB64-3755-479E-9F6A-D28FE136AF29}"/>
    <cellStyle name="Comma 28" xfId="319" xr:uid="{9D241FAA-239B-4735-B151-D313A771D560}"/>
    <cellStyle name="Comma 28 2" xfId="320" xr:uid="{136FFFE8-4ADB-4FA7-965B-60FA21DD59D8}"/>
    <cellStyle name="Comma 28 2 2" xfId="2018" xr:uid="{6795D600-B9ED-4F6C-99DE-1E76C0833D92}"/>
    <cellStyle name="Comma 28 3" xfId="2017" xr:uid="{EB481559-0E80-436D-A653-39F05DD476DA}"/>
    <cellStyle name="Comma 29" xfId="321" xr:uid="{B55786DE-D9C4-40FA-8181-60355636D96C}"/>
    <cellStyle name="Comma 29 2" xfId="322" xr:uid="{3F6ED9DA-B2F9-4661-9E54-C1C70930EDDE}"/>
    <cellStyle name="Comma 29 2 2" xfId="2020" xr:uid="{60800506-DDD3-475D-9C5B-6E30F3BE76DE}"/>
    <cellStyle name="Comma 29 3" xfId="2019" xr:uid="{BAC9F0A3-9D8F-4379-9B54-F9CEA029CAE0}"/>
    <cellStyle name="Comma 3" xfId="323" xr:uid="{9A67FB35-8F10-4C03-9657-09F5E939B0CC}"/>
    <cellStyle name="Comma 3 10" xfId="324" xr:uid="{51C5A527-C5CD-4AA0-B9A9-742E429DA7E8}"/>
    <cellStyle name="Comma 3 10 2" xfId="2021" xr:uid="{35EC6425-937F-488A-9E71-32FBA07C970C}"/>
    <cellStyle name="Comma 3 2" xfId="325" xr:uid="{28346064-7C95-4DD1-87EC-4CED06616A87}"/>
    <cellStyle name="Comma 3 2 2" xfId="326" xr:uid="{F58931AA-D084-403F-9C96-FA32BCC2D703}"/>
    <cellStyle name="Comma 3 2 2 2" xfId="327" xr:uid="{CAFEECC5-A8E1-4492-A5A7-E6F0C79EEE96}"/>
    <cellStyle name="Comma 3 2 2 3" xfId="328" xr:uid="{A5FBDBD6-069A-4F09-9BCB-F7DF565F432B}"/>
    <cellStyle name="Comma 3 2 2 3 2" xfId="2024" xr:uid="{5441B819-79DC-4C6C-B9CB-18D53077DD84}"/>
    <cellStyle name="Comma 3 2 2 4" xfId="2023" xr:uid="{18CD24B3-2130-4814-83D3-0E4992FF6909}"/>
    <cellStyle name="Comma 3 2 3" xfId="329" xr:uid="{CA9B6C23-7DF6-4A91-8486-F1E98560A689}"/>
    <cellStyle name="Comma 3 2 3 2" xfId="2025" xr:uid="{ECC715A1-A3DE-4BE1-BB31-48E581D10F76}"/>
    <cellStyle name="Comma 3 2 3 3" xfId="2756" xr:uid="{D0F35A96-6870-4E55-8B02-9752533E6D54}"/>
    <cellStyle name="Comma 3 2 4" xfId="2022" xr:uid="{4E7C4A2B-A047-4829-A103-4B5F4467026B}"/>
    <cellStyle name="Comma 3 3" xfId="330" xr:uid="{2DFDB122-60ED-429F-9D69-04A6F6B40697}"/>
    <cellStyle name="Comma 3 4" xfId="331" xr:uid="{59065F80-F400-449C-AECF-AD34BDCD3743}"/>
    <cellStyle name="Comma 3 5" xfId="332" xr:uid="{B4F04882-058A-457B-8B27-3C8D1F8F8DCF}"/>
    <cellStyle name="Comma 3 6" xfId="333" xr:uid="{02B15EA4-38FA-435B-911E-DC7E5F589E82}"/>
    <cellStyle name="Comma 3 6 2" xfId="2026" xr:uid="{766F654A-4721-4E67-AEB8-E9F78DEA4777}"/>
    <cellStyle name="Comma 3 7" xfId="334" xr:uid="{4D577DD4-37B8-4D09-B645-B5A3414A4372}"/>
    <cellStyle name="Comma 3 8" xfId="335" xr:uid="{CFD5856E-17FD-4549-AB82-27386FEA9C83}"/>
    <cellStyle name="Comma 3 8 2" xfId="2027" xr:uid="{A0277925-3FB0-441C-A49A-1A6BEE4C71C9}"/>
    <cellStyle name="Comma 3 8 3" xfId="2757" xr:uid="{0AFA1FE8-1561-4A89-BD98-5EDE8C3CC58F}"/>
    <cellStyle name="Comma 3 9" xfId="336" xr:uid="{B451A842-CBBC-4080-8B0C-269749D684DB}"/>
    <cellStyle name="Comma 30" xfId="337" xr:uid="{5F0216E2-3ACD-448E-9E97-E0207A0A1D40}"/>
    <cellStyle name="Comma 30 2" xfId="338" xr:uid="{68CFC76E-34EF-41B8-9406-870704D6EEBB}"/>
    <cellStyle name="Comma 30 2 2" xfId="2029" xr:uid="{5DD9CB33-8D1A-4060-96ED-0DDDA268058C}"/>
    <cellStyle name="Comma 30 3" xfId="2028" xr:uid="{F91EF083-B391-4E24-A49B-4B35FD95FAB7}"/>
    <cellStyle name="Comma 31" xfId="339" xr:uid="{4BBDB209-6635-4AC9-9BD9-D3883D905316}"/>
    <cellStyle name="Comma 31 2" xfId="340" xr:uid="{84981DBA-78D3-4753-B9BC-EB7A56027BCD}"/>
    <cellStyle name="Comma 31 2 2" xfId="2031" xr:uid="{28048A84-A881-41E4-B914-3F338BF50E58}"/>
    <cellStyle name="Comma 31 3" xfId="2030" xr:uid="{72AFF519-55B6-4873-9216-B1D2F53663EC}"/>
    <cellStyle name="Comma 32" xfId="341" xr:uid="{7DAE12C5-D752-4789-9E41-45E9B6CA9571}"/>
    <cellStyle name="Comma 32 2" xfId="342" xr:uid="{5B7A5FE1-5BA5-4CB5-B864-D704AD9CB75F}"/>
    <cellStyle name="Comma 32 2 2" xfId="2033" xr:uid="{45663946-5372-4A73-BD99-A9A4E0613740}"/>
    <cellStyle name="Comma 32 3" xfId="2032" xr:uid="{12132D38-927B-46E3-9F9E-91D838061EB1}"/>
    <cellStyle name="Comma 33" xfId="343" xr:uid="{5ACB032A-95F2-4B10-83B3-81083D61E916}"/>
    <cellStyle name="Comma 33 2" xfId="344" xr:uid="{E825C778-DAA2-4252-B44A-4EE6C4BFACD5}"/>
    <cellStyle name="Comma 33 2 2" xfId="2035" xr:uid="{A6B3B04A-B48E-46E5-B43D-95063FC1A9BF}"/>
    <cellStyle name="Comma 33 3" xfId="2034" xr:uid="{331DD17C-B5E1-4038-9B37-85E65E4FFD0B}"/>
    <cellStyle name="Comma 330" xfId="345" xr:uid="{3FBEBF84-30AF-4808-9478-D6A825E3F8D8}"/>
    <cellStyle name="Comma 330 2" xfId="2036" xr:uid="{13361F82-A5B1-4CF4-97AC-93B68AD8E38E}"/>
    <cellStyle name="Comma 330 3" xfId="2984" xr:uid="{3D46A6CB-E8C6-409C-95E6-9B23925B6A22}"/>
    <cellStyle name="Comma 34" xfId="346" xr:uid="{99C3434C-A1D8-421A-9FE6-59D2EABBE35C}"/>
    <cellStyle name="Comma 34 2" xfId="347" xr:uid="{C80236C3-91CF-4CFB-A4E2-AFA73483131C}"/>
    <cellStyle name="Comma 34 2 2" xfId="2038" xr:uid="{B869658E-5376-4D36-BA82-FC12D4E147BA}"/>
    <cellStyle name="Comma 34 3" xfId="2037" xr:uid="{7A32009A-925B-40B6-90F3-9B0392582E8F}"/>
    <cellStyle name="Comma 343" xfId="3034" xr:uid="{A5F606A7-3C6A-4B18-B919-E151CCF676D2}"/>
    <cellStyle name="Comma 344" xfId="3035" xr:uid="{C9D37EBF-2ABC-41E3-B454-093B98EE6638}"/>
    <cellStyle name="Comma 346" xfId="3036" xr:uid="{F4BD7D60-0779-41F7-90E9-CF15679E6C70}"/>
    <cellStyle name="Comma 35" xfId="348" xr:uid="{DF6C16A5-A4B7-4FF4-859C-30172BF1EA52}"/>
    <cellStyle name="Comma 35 2" xfId="349" xr:uid="{88993D19-0BB5-440B-81F6-F2891179C086}"/>
    <cellStyle name="Comma 35 2 2" xfId="2040" xr:uid="{282E6B3E-9617-4CBE-9729-B7FC2E6E7699}"/>
    <cellStyle name="Comma 35 3" xfId="2039" xr:uid="{8ABE06B7-4A66-4DAA-85F2-C2FB0A0E45E7}"/>
    <cellStyle name="Comma 36" xfId="350" xr:uid="{F37408B6-ED56-4C2A-B3C0-63A6055A9958}"/>
    <cellStyle name="Comma 36 2" xfId="351" xr:uid="{0C5D87ED-E897-42A5-B7A5-6B7838252FB4}"/>
    <cellStyle name="Comma 36 2 2" xfId="2042" xr:uid="{AA4D3B76-140B-43C3-9326-F4C070DB3274}"/>
    <cellStyle name="Comma 36 3" xfId="2041" xr:uid="{7AE57EF3-F41A-41AB-BDB3-ED347F8DF05E}"/>
    <cellStyle name="Comma 37" xfId="352" xr:uid="{9284D16E-F9E3-496C-985D-4EB9D1468F5D}"/>
    <cellStyle name="Comma 37 2" xfId="353" xr:uid="{2BFCD2E1-687B-4536-85E0-DA2EE4B3B5E6}"/>
    <cellStyle name="Comma 37 2 2" xfId="2044" xr:uid="{03C21BE1-4107-4E3B-92D8-6A2F7CD8F68E}"/>
    <cellStyle name="Comma 37 3" xfId="2043" xr:uid="{DDEEFF0C-F93A-4C29-8098-9261F8437B2A}"/>
    <cellStyle name="Comma 38" xfId="354" xr:uid="{B211AD74-1880-4127-8B2C-6AE113979C30}"/>
    <cellStyle name="Comma 38 2" xfId="2045" xr:uid="{DF4B378E-FE9A-48C5-B133-3AA79857264F}"/>
    <cellStyle name="Comma 39" xfId="355" xr:uid="{B3B2E6FB-39FB-4BC4-A303-8A832C7923AB}"/>
    <cellStyle name="Comma 39 2" xfId="356" xr:uid="{994FB069-A464-49F8-9A14-887F43C7F993}"/>
    <cellStyle name="Comma 39 2 2" xfId="2047" xr:uid="{9690B3FB-6D1A-4CAE-AB9B-7D9245D76BF8}"/>
    <cellStyle name="Comma 39 3" xfId="2046" xr:uid="{D2867FE1-619C-4EC7-AB92-C19C17B86F0F}"/>
    <cellStyle name="Comma 4" xfId="357" xr:uid="{83A0AD77-5314-43B6-B9CC-70E75A759882}"/>
    <cellStyle name="Comma 4 2" xfId="358" xr:uid="{F243C143-B44C-46D9-A397-D798499962A8}"/>
    <cellStyle name="Comma 4 3" xfId="359" xr:uid="{373429B4-1FE2-4A6E-8EA3-8ABA254C7434}"/>
    <cellStyle name="Comma 4 3 2" xfId="2048" xr:uid="{A2A6F4A0-E875-4783-87AD-0037536C64CB}"/>
    <cellStyle name="Comma 4 3 3" xfId="2758" xr:uid="{E3FFCCBB-9870-42DA-8ACB-1DC234D384BF}"/>
    <cellStyle name="Comma 4 4" xfId="360" xr:uid="{BD4846C9-395D-4C37-B0F1-17D12F4D5415}"/>
    <cellStyle name="Comma 4 5" xfId="361" xr:uid="{31A00C5A-CA46-4D9E-AF28-3EFF00D4D02E}"/>
    <cellStyle name="Comma 4 6" xfId="3063" xr:uid="{9B60AEDE-E4EB-41E7-92D5-9972D2E3BCB2}"/>
    <cellStyle name="Comma 40" xfId="362" xr:uid="{DB357BD7-2DC8-43BE-8C5C-D15BF89B59CB}"/>
    <cellStyle name="Comma 40 2" xfId="363" xr:uid="{1ED2B32F-C5FD-4744-91B8-8044C4DDDE4C}"/>
    <cellStyle name="Comma 40 2 2" xfId="2050" xr:uid="{C485AA62-840A-40DE-9B11-4D3700F73361}"/>
    <cellStyle name="Comma 40 3" xfId="2049" xr:uid="{1EDF8039-999F-406E-A088-B6B4FFFDB441}"/>
    <cellStyle name="Comma 41" xfId="364" xr:uid="{8126B27A-D519-40B9-AE5E-C993F150B39C}"/>
    <cellStyle name="Comma 41 2" xfId="365" xr:uid="{468566AD-B410-4B77-B026-9C439F41F03B}"/>
    <cellStyle name="Comma 41 2 2" xfId="2052" xr:uid="{02CC1E78-9B3C-4809-9105-1A0B1D010C9C}"/>
    <cellStyle name="Comma 41 3" xfId="2051" xr:uid="{F9B5FCD5-33A5-4D8A-85F1-E71EA1F0D1B9}"/>
    <cellStyle name="Comma 42" xfId="366" xr:uid="{F2509071-8FAC-44BF-9F26-FFBF0D8DCA51}"/>
    <cellStyle name="Comma 42 2" xfId="367" xr:uid="{95457E6D-739D-479B-BD03-9279DF9B8FAD}"/>
    <cellStyle name="Comma 42 2 2" xfId="2054" xr:uid="{A3636F8E-2172-403A-877E-0D9703D3A01D}"/>
    <cellStyle name="Comma 42 3" xfId="2053" xr:uid="{69D71C98-9E6E-4D7C-BB50-6D8423AADFFA}"/>
    <cellStyle name="Comma 43" xfId="368" xr:uid="{FD7BE3DD-4D4C-4231-8D7D-50BDAB2FC813}"/>
    <cellStyle name="Comma 43 2" xfId="369" xr:uid="{408F36E2-58A7-4D4A-8F72-ACE371D60018}"/>
    <cellStyle name="Comma 43 2 2" xfId="2056" xr:uid="{40C3CF6D-19C8-49FA-A42C-9D8B223C3463}"/>
    <cellStyle name="Comma 43 3" xfId="2055" xr:uid="{1BB74FF0-5E09-46CC-A4F0-BE19198FCF9A}"/>
    <cellStyle name="Comma 44" xfId="370" xr:uid="{6535F769-C589-4DDC-8A66-CE3D9A7DE0D1}"/>
    <cellStyle name="Comma 44 2" xfId="371" xr:uid="{CAC6DCF1-AC73-4531-82F6-556593F4E866}"/>
    <cellStyle name="Comma 44 2 2" xfId="2058" xr:uid="{4700655B-7483-42EA-8793-4FC70D606285}"/>
    <cellStyle name="Comma 44 3" xfId="2057" xr:uid="{BC3D11E2-A358-4F87-AF34-B582B0AAF1FB}"/>
    <cellStyle name="Comma 45" xfId="372" xr:uid="{D4256CBD-AACE-43CE-AD52-CA0D80498DF8}"/>
    <cellStyle name="Comma 45 2" xfId="373" xr:uid="{8C60F7C4-06A6-4F73-864B-7F9B8D8089BC}"/>
    <cellStyle name="Comma 45 2 2" xfId="2060" xr:uid="{369A6021-C0C2-4492-94C0-84298F4808B9}"/>
    <cellStyle name="Comma 45 3" xfId="2059" xr:uid="{934475B5-600A-4FA9-93CC-73198A28C23E}"/>
    <cellStyle name="Comma 46" xfId="374" xr:uid="{63D41131-ECD1-4C15-B2E2-AD839B3D6F5C}"/>
    <cellStyle name="Comma 46 2" xfId="375" xr:uid="{131ACCE4-5C0A-40E3-AD04-9711379CACDB}"/>
    <cellStyle name="Comma 46 2 2" xfId="2062" xr:uid="{9BD6B8A8-46CD-4112-9709-E6A31865B594}"/>
    <cellStyle name="Comma 46 3" xfId="2061" xr:uid="{9A5D6D23-1D46-43C8-8C27-C4F8EAD9B422}"/>
    <cellStyle name="Comma 47" xfId="376" xr:uid="{61519D1C-D7C4-40E5-93BB-8975CD853572}"/>
    <cellStyle name="Comma 47 2" xfId="377" xr:uid="{F290D569-8004-429B-80E0-DC1531E5DC2D}"/>
    <cellStyle name="Comma 47 2 2" xfId="2064" xr:uid="{9E42153C-FBF3-4269-9531-2C1C5A3896B8}"/>
    <cellStyle name="Comma 47 3" xfId="2063" xr:uid="{8EF9E504-F439-4751-AFA8-4058C7CB4EF4}"/>
    <cellStyle name="Comma 48" xfId="378" xr:uid="{76338582-2877-473B-B60F-CA35182AE908}"/>
    <cellStyle name="Comma 48 2" xfId="379" xr:uid="{A8296184-9D46-441D-ADD3-E7A859C4F2A6}"/>
    <cellStyle name="Comma 48 2 2" xfId="2066" xr:uid="{3AC500C5-AF85-4C78-8CB9-AEC9ABA0A780}"/>
    <cellStyle name="Comma 48 3" xfId="2065" xr:uid="{D3BDD4DF-7EF1-4039-BBBF-11F0FBF479FE}"/>
    <cellStyle name="Comma 49" xfId="380" xr:uid="{842680F6-96DF-45F2-BD2F-DAFB3A6B440A}"/>
    <cellStyle name="Comma 49 2" xfId="381" xr:uid="{2AF58A96-D5B1-4BBA-B182-3796363932D0}"/>
    <cellStyle name="Comma 49 2 2" xfId="2068" xr:uid="{11F39821-E0BE-4D68-814F-B600E6988A12}"/>
    <cellStyle name="Comma 49 3" xfId="2067" xr:uid="{9C0ABDF0-4C51-4B8C-B393-4B6F4BD02AFC}"/>
    <cellStyle name="Comma 5" xfId="382" xr:uid="{2FFE0D7D-A6DC-47C5-A79B-41BD6CC25A02}"/>
    <cellStyle name="Comma 5 2" xfId="383" xr:uid="{D8275047-9E65-42EF-936A-E527AD807941}"/>
    <cellStyle name="Comma 5 3" xfId="384" xr:uid="{7AD3E39A-8A95-4CF6-8835-9EC754E21FEA}"/>
    <cellStyle name="Comma 5 3 2" xfId="2069" xr:uid="{8B55E153-840F-4A6E-98F5-03A61BDFCCF7}"/>
    <cellStyle name="Comma 5 3 3" xfId="2759" xr:uid="{7ADA9108-D04B-49F8-A5C2-1A609B4E34B1}"/>
    <cellStyle name="Comma 5 4" xfId="3065" xr:uid="{0F5B2D27-C917-4F1D-AB91-A36D49875D59}"/>
    <cellStyle name="Comma 50" xfId="385" xr:uid="{09FEC6AF-B97F-40DB-A6E7-DFE291111387}"/>
    <cellStyle name="Comma 50 2" xfId="386" xr:uid="{C2219851-21AE-4291-A9DF-7BA3A4DC7DC1}"/>
    <cellStyle name="Comma 50 2 2" xfId="2071" xr:uid="{9EE64D0E-D797-4AE4-8274-2948CB98542F}"/>
    <cellStyle name="Comma 50 3" xfId="2070" xr:uid="{DC481267-A32C-48E2-A1D7-5725CC4A809A}"/>
    <cellStyle name="Comma 51" xfId="387" xr:uid="{D1BF0A19-D70D-4123-B103-CF1B68AF1745}"/>
    <cellStyle name="Comma 51 2" xfId="388" xr:uid="{A3CD8DF0-5F5F-439C-9515-C0F03396AEA8}"/>
    <cellStyle name="Comma 51 2 2" xfId="2073" xr:uid="{81B47F8A-F046-4C0A-8559-B2583606EF87}"/>
    <cellStyle name="Comma 51 3" xfId="2072" xr:uid="{F75B2859-1001-4FD5-9588-61010C71CD02}"/>
    <cellStyle name="Comma 52" xfId="389" xr:uid="{E06D349D-EA17-4EA3-B805-C3AD8E6CCCE5}"/>
    <cellStyle name="Comma 52 2" xfId="390" xr:uid="{813C9F16-6C0D-40E7-B362-C1EDDCF1F2B6}"/>
    <cellStyle name="Comma 52 2 2" xfId="2075" xr:uid="{0499DE75-A2AF-4185-ADF1-F3BEA671E6E0}"/>
    <cellStyle name="Comma 52 3" xfId="2074" xr:uid="{4131C54C-7E7D-4FF0-A4F5-B38CEE3D467C}"/>
    <cellStyle name="Comma 53" xfId="391" xr:uid="{601AA7E0-D7AF-44F8-B0D9-5ECA39C3117A}"/>
    <cellStyle name="Comma 53 2" xfId="392" xr:uid="{BF1BDEEF-BC7F-4D67-8B8E-E3B84C8780C0}"/>
    <cellStyle name="Comma 53 2 2" xfId="2077" xr:uid="{FE29EA3A-3B1A-43B0-898B-D271D20C1327}"/>
    <cellStyle name="Comma 53 3" xfId="2076" xr:uid="{07DEE1E9-78B9-40E1-B93E-3856A7C36430}"/>
    <cellStyle name="Comma 54" xfId="393" xr:uid="{9FFFF2BC-C952-4584-BF25-5AB90B92DFE6}"/>
    <cellStyle name="Comma 54 2" xfId="394" xr:uid="{8EB64F2A-55CB-4CE2-ACDC-9D43DAB17F8B}"/>
    <cellStyle name="Comma 54 2 2" xfId="2079" xr:uid="{6715B26E-08F1-4E78-8066-7B1CEFDB364F}"/>
    <cellStyle name="Comma 54 3" xfId="2078" xr:uid="{1CD8D888-002B-4B6D-8A6B-08DD206F15E1}"/>
    <cellStyle name="Comma 55" xfId="395" xr:uid="{E9F86BBB-DF5E-46E4-A2A1-46FE5971A29F}"/>
    <cellStyle name="Comma 55 2" xfId="396" xr:uid="{F73DFC18-775F-4E73-955C-56207A03A51F}"/>
    <cellStyle name="Comma 55 2 2" xfId="2081" xr:uid="{E29AF6E4-49C6-42CA-AFAC-05CC588601A5}"/>
    <cellStyle name="Comma 55 3" xfId="2080" xr:uid="{D83C69C2-250F-4FD0-A88A-C98EDC0074F8}"/>
    <cellStyle name="Comma 56" xfId="397" xr:uid="{4E6B6FAF-740A-41B8-B680-B6F8D1422AF4}"/>
    <cellStyle name="Comma 56 2" xfId="398" xr:uid="{739CD643-ED41-4D4E-ABF1-3309C1028058}"/>
    <cellStyle name="Comma 56 2 2" xfId="2083" xr:uid="{90082B31-F50A-4A3A-B4E5-925DB9FC11EB}"/>
    <cellStyle name="Comma 56 3" xfId="2082" xr:uid="{B9B28881-C233-425F-BD54-0AB24235AF46}"/>
    <cellStyle name="Comma 57" xfId="399" xr:uid="{B9EDE5CF-D58C-4D31-B8DB-560056AF7430}"/>
    <cellStyle name="Comma 57 2" xfId="400" xr:uid="{A3B8CF97-D97F-49A2-9E43-2327B427B4EB}"/>
    <cellStyle name="Comma 57 2 2" xfId="2085" xr:uid="{AB238AFC-2231-4135-AF6F-16695547746D}"/>
    <cellStyle name="Comma 57 3" xfId="2084" xr:uid="{500CBDAF-C2A2-4414-BA93-7D1CAFB4699A}"/>
    <cellStyle name="Comma 58" xfId="401" xr:uid="{0AAB552A-EBFD-40DC-8C30-70D72CC5902A}"/>
    <cellStyle name="Comma 58 2" xfId="402" xr:uid="{193A21C7-00D7-47C6-A916-3D7744E71B2C}"/>
    <cellStyle name="Comma 58 2 2" xfId="2087" xr:uid="{938607D5-8848-49CE-8364-77F8F0BDA5EE}"/>
    <cellStyle name="Comma 58 3" xfId="2086" xr:uid="{FF485A5C-7C3A-49BC-84EB-94932BE2D359}"/>
    <cellStyle name="Comma 59" xfId="403" xr:uid="{064C648A-EE37-442E-A7C9-BF383B4DCA16}"/>
    <cellStyle name="Comma 59 2" xfId="404" xr:uid="{CEB6F60D-975E-4C41-8A2A-FBC657386E38}"/>
    <cellStyle name="Comma 59 2 2" xfId="2089" xr:uid="{1B0068C2-CC99-475F-B3E8-B948A8E53E5C}"/>
    <cellStyle name="Comma 59 3" xfId="2088" xr:uid="{251A0984-80C1-4DA8-A805-DCF1C895E505}"/>
    <cellStyle name="Comma 6" xfId="405" xr:uid="{5797656D-8CB7-41E8-A7E6-26E84606AEE1}"/>
    <cellStyle name="Comma 6 2" xfId="406" xr:uid="{B3A25374-57D6-4449-A70D-2AA6D7E9E676}"/>
    <cellStyle name="Comma 6 2 2" xfId="2090" xr:uid="{BBD47F31-FF52-46D0-9DCC-7ADE7AA7D52C}"/>
    <cellStyle name="Comma 6 2 3" xfId="2760" xr:uid="{4D30E7A8-57FF-4272-BAEB-4AF3781BF2EB}"/>
    <cellStyle name="Comma 6 3" xfId="3075" xr:uid="{923E5AF2-F73E-43A0-94C8-CDBA2522703B}"/>
    <cellStyle name="Comma 60" xfId="407" xr:uid="{8B4B325D-4440-4455-962C-D7EE25D230AE}"/>
    <cellStyle name="Comma 60 2" xfId="408" xr:uid="{9B6A7878-165E-45B0-872D-AA0D370C0245}"/>
    <cellStyle name="Comma 60 2 2" xfId="2092" xr:uid="{CB434423-1A07-44C9-8918-774CEC2ED958}"/>
    <cellStyle name="Comma 60 3" xfId="2091" xr:uid="{E97D3C27-6624-496F-B282-B525C7B1FDFB}"/>
    <cellStyle name="Comma 61" xfId="409" xr:uid="{7808C452-B7C5-440D-ACC0-EB4E5CFFC3BA}"/>
    <cellStyle name="Comma 61 2" xfId="410" xr:uid="{133C9678-F063-4DF7-B9E9-2FC808025527}"/>
    <cellStyle name="Comma 61 2 2" xfId="2094" xr:uid="{8CBCC67D-C5FF-4C63-BC4D-89F9CBFACE0F}"/>
    <cellStyle name="Comma 61 3" xfId="2093" xr:uid="{F86F0D5D-B530-4060-AB68-2D7D32D51D90}"/>
    <cellStyle name="Comma 62" xfId="411" xr:uid="{5C88652C-6A66-4B32-B429-DBF9835756D7}"/>
    <cellStyle name="Comma 62 2" xfId="412" xr:uid="{A7F170A2-6085-42E3-85A4-F29ADA3C0775}"/>
    <cellStyle name="Comma 62 2 2" xfId="2096" xr:uid="{319BA717-A7ED-40BA-AB09-9F258AC0CDCC}"/>
    <cellStyle name="Comma 62 3" xfId="2095" xr:uid="{C47CAD96-B7A5-4A81-BC9B-6D253906B4C6}"/>
    <cellStyle name="Comma 63" xfId="413" xr:uid="{0DFE3F2D-086A-44D8-BE3A-21D5B58A6D5A}"/>
    <cellStyle name="Comma 63 2" xfId="414" xr:uid="{4B726D9C-AB94-4F46-8847-F51D43A2550C}"/>
    <cellStyle name="Comma 63 2 2" xfId="2098" xr:uid="{545E29E8-FDAB-4FF5-B042-2F188C25770D}"/>
    <cellStyle name="Comma 63 3" xfId="2097" xr:uid="{6B03E9CA-DA96-405B-843D-76260F09A9F6}"/>
    <cellStyle name="Comma 64" xfId="415" xr:uid="{2F53FCC1-68E8-4E2E-B05D-B51CF25E27BA}"/>
    <cellStyle name="Comma 64 2" xfId="416" xr:uid="{7E7C1D56-3AD0-4935-BE97-E22FAC28C344}"/>
    <cellStyle name="Comma 64 2 2" xfId="2100" xr:uid="{637FFF67-3B4F-4F14-92EC-2D6E86EB863D}"/>
    <cellStyle name="Comma 64 3" xfId="2099" xr:uid="{0E970B58-1C36-4DAE-9C96-6AD85DE4EE8C}"/>
    <cellStyle name="Comma 65" xfId="417" xr:uid="{281BB94D-DBC5-4610-A875-474226E35060}"/>
    <cellStyle name="Comma 65 2" xfId="418" xr:uid="{DCEF8C29-837F-4FD8-B45B-2D2323ACFD97}"/>
    <cellStyle name="Comma 65 2 2" xfId="2102" xr:uid="{8DA31E14-8F08-4336-886D-8BD8E4F429FF}"/>
    <cellStyle name="Comma 65 3" xfId="2101" xr:uid="{065487A7-8421-48D3-878C-653F7572A84D}"/>
    <cellStyle name="Comma 66" xfId="419" xr:uid="{D26646B5-AE85-4B29-A5B4-508CC2DD2C3C}"/>
    <cellStyle name="Comma 66 2" xfId="420" xr:uid="{940299A2-F272-463D-9205-1114579FE9D8}"/>
    <cellStyle name="Comma 66 2 2" xfId="2104" xr:uid="{2EBFCF5F-38EB-4F2B-855C-06F07AE55A15}"/>
    <cellStyle name="Comma 66 3" xfId="2103" xr:uid="{54203A55-7947-4ACA-9C4E-FE60BE7A299D}"/>
    <cellStyle name="Comma 67" xfId="421" xr:uid="{EB847DF2-CFAA-4B89-90EE-706D8BBED375}"/>
    <cellStyle name="Comma 67 2" xfId="422" xr:uid="{EB7A1A20-4CCF-4E09-9855-4D7A4C8922E8}"/>
    <cellStyle name="Comma 67 2 2" xfId="2106" xr:uid="{AE537BEE-DDFF-48C3-A0EB-FE243BF0477C}"/>
    <cellStyle name="Comma 67 3" xfId="2105" xr:uid="{27B39819-92DE-4478-8742-A499614FCF73}"/>
    <cellStyle name="Comma 68" xfId="423" xr:uid="{E7385738-6FAF-4076-AD65-7CD8ED420109}"/>
    <cellStyle name="Comma 68 2" xfId="424" xr:uid="{57FAA2CE-CCD7-4977-B5C7-C9352D6CF193}"/>
    <cellStyle name="Comma 68 2 2" xfId="2108" xr:uid="{F2E47E1E-2F8F-46A1-AB25-7D350F0B6BF6}"/>
    <cellStyle name="Comma 68 3" xfId="2107" xr:uid="{1D5F6767-2405-40D3-B814-1718B5360075}"/>
    <cellStyle name="Comma 69" xfId="425" xr:uid="{49959C20-E21D-4611-B210-2E58A4AC9938}"/>
    <cellStyle name="Comma 69 2" xfId="426" xr:uid="{A53486D2-A7F1-4DD9-9225-C6EBB3003106}"/>
    <cellStyle name="Comma 69 2 2" xfId="2110" xr:uid="{AF8FC03F-3E5C-4550-B5A2-E3F133A3E1AD}"/>
    <cellStyle name="Comma 69 3" xfId="2109" xr:uid="{DB71E9C9-2CB4-4077-B0C0-3911A2267E44}"/>
    <cellStyle name="Comma 7" xfId="427" xr:uid="{10D223BA-8501-47B9-8F24-1240EE114A2A}"/>
    <cellStyle name="Comma 7 2" xfId="428" xr:uid="{7F709CFF-5C50-45BF-99C9-B23FE6D526FA}"/>
    <cellStyle name="Comma 7 2 2" xfId="429" xr:uid="{AC350CCF-CD2F-4099-9F54-61C116C367E8}"/>
    <cellStyle name="Comma 7 2 2 2" xfId="2113" xr:uid="{79D7CFE5-6DE1-4CDF-9497-7146CFA745C2}"/>
    <cellStyle name="Comma 7 2 3" xfId="2112" xr:uid="{19BAB03D-473C-41E0-9DE6-EE221B22BFCA}"/>
    <cellStyle name="Comma 7 3" xfId="430" xr:uid="{D0D6251D-D4AB-4C5B-AB5F-D3A95E196F23}"/>
    <cellStyle name="Comma 7 3 2" xfId="2114" xr:uid="{CEEA291C-E212-4842-AE3A-F6AD09DEEDFA}"/>
    <cellStyle name="Comma 7 4" xfId="2111" xr:uid="{52C2332A-E9B5-472C-A93C-710BEDE4C358}"/>
    <cellStyle name="Comma 70" xfId="431" xr:uid="{73CD0FB9-4708-4E00-A14E-F340BFF4C0E3}"/>
    <cellStyle name="Comma 70 2" xfId="432" xr:uid="{1753700C-593F-470E-B207-FBBEAE8A9AA7}"/>
    <cellStyle name="Comma 70 2 2" xfId="2116" xr:uid="{74DE9E09-88B2-431D-9643-1D9C7FA65DBD}"/>
    <cellStyle name="Comma 70 3" xfId="2115" xr:uid="{410E057C-C685-4199-B7A0-54FBE007E33A}"/>
    <cellStyle name="Comma 71" xfId="433" xr:uid="{5FB2F636-316A-4638-ACBA-E3085049E823}"/>
    <cellStyle name="Comma 71 2" xfId="434" xr:uid="{54F3D731-7005-4BC4-9B77-C1BF8656D3E6}"/>
    <cellStyle name="Comma 71 2 2" xfId="2118" xr:uid="{358D1CDC-1DAC-4A8C-B583-78E92046DEB0}"/>
    <cellStyle name="Comma 71 3" xfId="2117" xr:uid="{FEE8C0DC-7E89-4F29-B8D3-088FEB432A8A}"/>
    <cellStyle name="Comma 72" xfId="435" xr:uid="{804C49D3-107F-4079-89CD-8C0D40939F9E}"/>
    <cellStyle name="Comma 72 2" xfId="436" xr:uid="{8589F6CB-0656-431F-8CB7-D09A87FCBC71}"/>
    <cellStyle name="Comma 72 2 2" xfId="2120" xr:uid="{C5C4C287-F00F-441D-8DA6-505D976D69C4}"/>
    <cellStyle name="Comma 72 3" xfId="2119" xr:uid="{6A9BF376-E35E-40F8-963E-F75054C2CBA4}"/>
    <cellStyle name="Comma 73" xfId="437" xr:uid="{B3A5E667-CB3C-4C0B-8FBE-0A4D81787B80}"/>
    <cellStyle name="Comma 73 2" xfId="438" xr:uid="{A9BC4117-DD81-4B84-89F0-240920493F89}"/>
    <cellStyle name="Comma 73 2 2" xfId="2122" xr:uid="{9AF7AA8D-8CCC-46BD-8433-BDADF7E78607}"/>
    <cellStyle name="Comma 73 2 3" xfId="2762" xr:uid="{5DAB70F7-A184-4B50-BEA6-B0EB7A4E5C23}"/>
    <cellStyle name="Comma 73 3" xfId="2121" xr:uid="{3F457898-363B-42C7-8910-BBE034AF5525}"/>
    <cellStyle name="Comma 73 4" xfId="2761" xr:uid="{CE113942-AD79-4CE9-BF89-5AA6E32A9C99}"/>
    <cellStyle name="Comma 74" xfId="439" xr:uid="{DDC2BE72-8FA5-4811-A074-98792FEF617B}"/>
    <cellStyle name="Comma 74 2" xfId="440" xr:uid="{11B9909B-49DA-46D9-B408-0161140B115E}"/>
    <cellStyle name="Comma 74 2 2" xfId="2124" xr:uid="{E30A096D-9873-40F9-8813-49A38ED2A319}"/>
    <cellStyle name="Comma 74 2 3" xfId="2764" xr:uid="{B7885798-0536-43C3-8AAB-CA0ECC4DB32C}"/>
    <cellStyle name="Comma 74 3" xfId="2123" xr:uid="{95F955B6-087C-4550-9F11-5CE1552DB001}"/>
    <cellStyle name="Comma 74 4" xfId="2763" xr:uid="{3298B5E9-CA29-4D52-A2A7-BBB2AC5F319C}"/>
    <cellStyle name="Comma 75" xfId="441" xr:uid="{10BB488F-0186-4BED-954D-A2E3549D9461}"/>
    <cellStyle name="Comma 75 2" xfId="442" xr:uid="{1BB50C0E-926D-4F03-97A8-0FF08A4D3852}"/>
    <cellStyle name="Comma 75 2 2" xfId="2126" xr:uid="{E4212C1A-B881-4F6E-AE70-FDA24C045448}"/>
    <cellStyle name="Comma 75 2 3" xfId="2766" xr:uid="{3F1CFE55-D6ED-4992-9B4A-E90287AB325D}"/>
    <cellStyle name="Comma 75 3" xfId="2125" xr:uid="{C3D03BC5-340B-4215-A976-886AF98C4B3F}"/>
    <cellStyle name="Comma 75 4" xfId="2765" xr:uid="{5D0CABFA-D603-4311-85D2-61AB63A67520}"/>
    <cellStyle name="Comma 76" xfId="443" xr:uid="{4FB85936-4B40-466F-BD5A-453B185BF3EF}"/>
    <cellStyle name="Comma 76 2" xfId="444" xr:uid="{4E6BCA4D-3288-44B4-A0AD-0DB1CB77E72E}"/>
    <cellStyle name="Comma 76 2 2" xfId="2128" xr:uid="{1D41392A-54A8-41BC-B5C0-80289DB16131}"/>
    <cellStyle name="Comma 76 2 3" xfId="2768" xr:uid="{A182FF1B-05CC-45D4-A0B0-F95538FFF8DF}"/>
    <cellStyle name="Comma 76 3" xfId="2127" xr:uid="{C9E1F9AC-AE18-45CE-96A5-05F9308754B1}"/>
    <cellStyle name="Comma 76 4" xfId="2767" xr:uid="{E520103C-3A0C-4EB8-BCB8-7C1F762D769C}"/>
    <cellStyle name="Comma 77" xfId="445" xr:uid="{890AE642-2599-4D53-BB6A-5B7E9A726F76}"/>
    <cellStyle name="Comma 77 2" xfId="446" xr:uid="{F203C341-1B20-4332-AD85-EBAA6D0103B7}"/>
    <cellStyle name="Comma 77 2 2" xfId="2130" xr:uid="{CAF1CCB7-2B1C-4E25-9387-AC9954F6A1F3}"/>
    <cellStyle name="Comma 77 2 3" xfId="2770" xr:uid="{CA3E4535-609F-4E76-9BB1-92D7C96DF63A}"/>
    <cellStyle name="Comma 77 3" xfId="2129" xr:uid="{C0EF7C38-7C47-477C-BC11-0F9ECBF4E55A}"/>
    <cellStyle name="Comma 77 4" xfId="2769" xr:uid="{3F80B3E3-574E-4893-BA10-3840CF41D431}"/>
    <cellStyle name="Comma 78" xfId="447" xr:uid="{5A5C4131-704E-44A7-9CC2-63093D8A0AF4}"/>
    <cellStyle name="Comma 78 2" xfId="448" xr:uid="{CFC2251F-87F9-45F2-A3B8-E4218B466F7B}"/>
    <cellStyle name="Comma 78 2 2" xfId="2132" xr:uid="{26F4821C-1F90-4839-82A0-B61BCBDD29FB}"/>
    <cellStyle name="Comma 78 2 3" xfId="2772" xr:uid="{D4AE8B2A-E505-4047-B65C-E8341B53C892}"/>
    <cellStyle name="Comma 78 3" xfId="2131" xr:uid="{E2A55C4A-8B7F-45BE-8F3D-C9ED8C38BB86}"/>
    <cellStyle name="Comma 78 4" xfId="2771" xr:uid="{94776E47-F214-4389-974A-F79C900D9C49}"/>
    <cellStyle name="Comma 79" xfId="449" xr:uid="{47947B12-A005-44AC-81CD-C4E42AB44003}"/>
    <cellStyle name="Comma 79 2" xfId="450" xr:uid="{4ED68DBB-5113-4278-8C36-305C7D24828F}"/>
    <cellStyle name="Comma 79 2 2" xfId="2134" xr:uid="{27C64CDB-12CC-42E0-86C2-7519E8BEB7ED}"/>
    <cellStyle name="Comma 79 2 3" xfId="2774" xr:uid="{D6907ECC-FAC7-42B7-9080-CB2346637EF4}"/>
    <cellStyle name="Comma 79 3" xfId="2133" xr:uid="{7D9B1B4D-0C32-4DF9-8F73-67150EBBB25D}"/>
    <cellStyle name="Comma 79 4" xfId="2773" xr:uid="{2E75E5B2-E620-4C38-B504-45588BE827BC}"/>
    <cellStyle name="Comma 8" xfId="451" xr:uid="{2E72F80E-1893-41D6-AFAB-CD703B9B6C1A}"/>
    <cellStyle name="Comma 8 2" xfId="452" xr:uid="{849E503C-E8EA-415D-9167-77C8AE8A2C32}"/>
    <cellStyle name="Comma 8 2 2" xfId="453" xr:uid="{1D7AE249-2B10-4F2B-A897-6947E5906A2D}"/>
    <cellStyle name="Comma 8 2 2 2" xfId="2136" xr:uid="{4FF1493A-CB1D-42C6-9050-71336BDFA454}"/>
    <cellStyle name="Comma 8 2 3" xfId="2135" xr:uid="{FD898A65-A22D-4BA4-97AA-C127989745CA}"/>
    <cellStyle name="Comma 80" xfId="454" xr:uid="{967E1C15-22D3-41B6-AC15-9417192D93F6}"/>
    <cellStyle name="Comma 80 2" xfId="455" xr:uid="{D1636514-61A5-409B-9F70-844133C53779}"/>
    <cellStyle name="Comma 80 2 2" xfId="2138" xr:uid="{3A951D92-8FAC-4A7B-9C56-3AAF1EBA2390}"/>
    <cellStyle name="Comma 80 2 3" xfId="2776" xr:uid="{95524766-11BB-4C32-971A-9505214AFFC9}"/>
    <cellStyle name="Comma 80 3" xfId="2137" xr:uid="{E34B579B-14AC-4E81-9E07-B32FF7161528}"/>
    <cellStyle name="Comma 80 4" xfId="2775" xr:uid="{A4AFDA13-84E1-47E3-9477-86038EEA1E63}"/>
    <cellStyle name="Comma 81" xfId="456" xr:uid="{7B7CFC35-35AA-48B2-B453-AD36C2CD5CD0}"/>
    <cellStyle name="Comma 81 2" xfId="457" xr:uid="{22442CF0-E0C1-42B9-BAFC-AB5EF089EDC1}"/>
    <cellStyle name="Comma 81 2 2" xfId="2140" xr:uid="{FFBCFDDE-A4E2-4765-B27F-40B4A96ACBF5}"/>
    <cellStyle name="Comma 81 2 3" xfId="2778" xr:uid="{1B4EC06A-A3A0-435D-AED5-5DCEB877AAB9}"/>
    <cellStyle name="Comma 81 3" xfId="2139" xr:uid="{FB44FC8B-F5E7-4B37-8ED3-59D663DC792A}"/>
    <cellStyle name="Comma 81 4" xfId="2777" xr:uid="{999E9D38-88DB-4D66-A1A4-DF3CBE61D36B}"/>
    <cellStyle name="Comma 82" xfId="458" xr:uid="{9BD6505B-8C4C-4385-8D46-ACEAEA920E0C}"/>
    <cellStyle name="Comma 82 2" xfId="459" xr:uid="{EAF90DAB-17DF-495B-AE46-3A91AEADB681}"/>
    <cellStyle name="Comma 82 2 2" xfId="2142" xr:uid="{8029A1DD-FD2A-4967-B216-8D433B2E66E0}"/>
    <cellStyle name="Comma 82 2 3" xfId="2780" xr:uid="{6D0DCD4B-AA9E-4850-B629-CE513DA92C80}"/>
    <cellStyle name="Comma 82 3" xfId="2141" xr:uid="{03CCBBDF-7002-44D1-85CF-65260866B81F}"/>
    <cellStyle name="Comma 82 4" xfId="2779" xr:uid="{EA68B904-37D4-41E9-BE08-6C8FA84FB9B5}"/>
    <cellStyle name="Comma 83" xfId="460" xr:uid="{15E0EBAE-0018-4E83-BC0E-DFD2F227AC0C}"/>
    <cellStyle name="Comma 83 2" xfId="461" xr:uid="{E8C4E15B-FD59-4A0A-9375-C0AD1E3F7017}"/>
    <cellStyle name="Comma 83 2 2" xfId="2144" xr:uid="{098B2F6A-02C9-46FC-A67E-66FA7F178B83}"/>
    <cellStyle name="Comma 83 2 3" xfId="2782" xr:uid="{4A264B05-6554-4D12-AFB9-8927564A20BB}"/>
    <cellStyle name="Comma 83 3" xfId="2143" xr:uid="{20A3CCE9-BEF5-495A-A061-BCD142C656D5}"/>
    <cellStyle name="Comma 83 4" xfId="2781" xr:uid="{D03067EC-1281-486F-9D2C-9C1E1A272D67}"/>
    <cellStyle name="Comma 84" xfId="462" xr:uid="{0BCFB2A5-0CF3-4E59-A137-3F27CF78F80E}"/>
    <cellStyle name="Comma 84 2" xfId="463" xr:uid="{1B49F74E-EEC2-483D-B9AB-1BBB57BCA433}"/>
    <cellStyle name="Comma 84 2 2" xfId="2146" xr:uid="{020BC125-8CD1-4D90-BA16-1FF7B1E11018}"/>
    <cellStyle name="Comma 84 2 3" xfId="2784" xr:uid="{DC21E039-D38F-459C-AE0E-D6BD7ACA75C8}"/>
    <cellStyle name="Comma 84 3" xfId="2145" xr:uid="{2DCDD543-FC28-43E6-A291-D3615BD290AC}"/>
    <cellStyle name="Comma 84 4" xfId="2783" xr:uid="{155EB648-973F-4F18-970B-5ADC54C40273}"/>
    <cellStyle name="Comma 85" xfId="464" xr:uid="{5E62DB68-79E8-4B24-BB75-E1A73FB1087B}"/>
    <cellStyle name="Comma 85 2" xfId="465" xr:uid="{0EA48753-2E85-44A3-B769-B6B53B70E9DC}"/>
    <cellStyle name="Comma 85 2 2" xfId="2148" xr:uid="{10CB42E0-77A8-4A64-B272-C7E0D53ECF63}"/>
    <cellStyle name="Comma 85 2 3" xfId="2786" xr:uid="{4DD3755C-C163-4419-9A32-81F508A86F05}"/>
    <cellStyle name="Comma 85 3" xfId="2147" xr:uid="{761AF39A-FF30-44DA-8DCB-98114E2C4E31}"/>
    <cellStyle name="Comma 85 4" xfId="2785" xr:uid="{52049D79-7BAC-417D-BD82-54D28B86A602}"/>
    <cellStyle name="Comma 86" xfId="466" xr:uid="{114919C5-728D-4B43-85E7-A66DE0F5DC9B}"/>
    <cellStyle name="Comma 86 2" xfId="467" xr:uid="{FC90448E-8ABA-411C-9EE0-928DEDEF2235}"/>
    <cellStyle name="Comma 86 2 2" xfId="2150" xr:uid="{1B6C41F0-3F9F-4F7F-938E-C9C410BE20D9}"/>
    <cellStyle name="Comma 86 2 3" xfId="2788" xr:uid="{BFF41525-2247-471F-896E-794B9DBDFF20}"/>
    <cellStyle name="Comma 86 3" xfId="2149" xr:uid="{0DC7D5A5-E3B7-456C-8922-3EC187E8A82A}"/>
    <cellStyle name="Comma 86 4" xfId="2787" xr:uid="{0C89BBAC-0953-408C-964A-AB79E878A295}"/>
    <cellStyle name="Comma 87" xfId="468" xr:uid="{5F2B82A1-2A13-40E0-8908-9B391AA07C3B}"/>
    <cellStyle name="Comma 87 2" xfId="469" xr:uid="{3B086D4A-EA95-411C-8617-7E5C31211A10}"/>
    <cellStyle name="Comma 87 2 2" xfId="2152" xr:uid="{2C3F646C-CAF2-4789-9F35-EC995AA975F0}"/>
    <cellStyle name="Comma 87 2 3" xfId="2790" xr:uid="{EBBABEF7-DE55-4DBB-9A58-45EE342A6F2C}"/>
    <cellStyle name="Comma 87 3" xfId="2151" xr:uid="{A46A4A2D-3C05-4607-9213-BDEE729D9D96}"/>
    <cellStyle name="Comma 87 4" xfId="2789" xr:uid="{42C88776-776A-4F3E-962B-073F68232B35}"/>
    <cellStyle name="Comma 88" xfId="470" xr:uid="{0C15264F-6E93-4510-95ED-86D82E7E3861}"/>
    <cellStyle name="Comma 88 2" xfId="471" xr:uid="{0CF95A11-16FB-46D7-818B-47F87538DA4B}"/>
    <cellStyle name="Comma 88 2 2" xfId="2154" xr:uid="{75D86FD8-FCE0-4A7E-B949-BE6D2AE515E2}"/>
    <cellStyle name="Comma 88 2 3" xfId="2792" xr:uid="{26CEF685-17EE-4B0A-845F-3636E30CD400}"/>
    <cellStyle name="Comma 88 3" xfId="2153" xr:uid="{BF858AB2-7430-4EDF-B4DA-9BB8AA0275F5}"/>
    <cellStyle name="Comma 88 4" xfId="2791" xr:uid="{1AAA5D6C-C9D9-44FB-A4FE-2D1DE126F1CD}"/>
    <cellStyle name="Comma 89" xfId="472" xr:uid="{164E2812-37AD-443C-95FF-3FDCAE734492}"/>
    <cellStyle name="Comma 89 2" xfId="2155" xr:uid="{32D265AC-AA4B-437D-AA96-3F7639250B64}"/>
    <cellStyle name="Comma 89 3" xfId="2793" xr:uid="{D6C98C47-3D8C-42B8-A58B-B9726E23DD2E}"/>
    <cellStyle name="Comma 9" xfId="473" xr:uid="{95C5E7DE-20B1-4715-9115-1D1672BDDF1D}"/>
    <cellStyle name="Comma 9 2" xfId="474" xr:uid="{4D446F59-71A8-4A60-A98B-8669B85A2EF8}"/>
    <cellStyle name="Comma 9 3" xfId="475" xr:uid="{FF459991-B8DF-4E6E-BB74-F225C8641BCA}"/>
    <cellStyle name="Comma 90" xfId="476" xr:uid="{5D095BCF-DCA6-4726-882D-B5F4A80D5E46}"/>
    <cellStyle name="Comma 90 2" xfId="2156" xr:uid="{166AABC7-589D-4B90-A26D-465C98627E9E}"/>
    <cellStyle name="Comma 90 3" xfId="2794" xr:uid="{5B2F1CE3-A8A6-49EF-9B2D-759873942F4E}"/>
    <cellStyle name="Comma 91" xfId="477" xr:uid="{1331E147-A029-4582-8E28-804252D10859}"/>
    <cellStyle name="Comma 91 2" xfId="2157" xr:uid="{56B198BC-AEB0-402D-A43E-DAB825A1D053}"/>
    <cellStyle name="Comma 91 3" xfId="2795" xr:uid="{ECAFE747-7BD5-4BD5-88D2-747DB028331D}"/>
    <cellStyle name="Comma 92" xfId="478" xr:uid="{AA82D7C9-4B3E-4A2B-A98B-B34EB4F83E2E}"/>
    <cellStyle name="Comma 92 2" xfId="2158" xr:uid="{16E54D8D-E5FF-413C-88F2-C3CABE3B36CE}"/>
    <cellStyle name="Comma 92 3" xfId="2796" xr:uid="{AD22CD4A-C5FF-4F99-AEE3-32EA8DDE1928}"/>
    <cellStyle name="Comma 93" xfId="479" xr:uid="{767F16DD-A113-4287-AEE7-15A76EE9EF19}"/>
    <cellStyle name="Comma 93 2" xfId="2159" xr:uid="{09FC8854-9FC8-48AC-AF2E-EE183666D821}"/>
    <cellStyle name="Comma 93 3" xfId="2797" xr:uid="{BA9D8A43-2A49-4FA6-8BCD-58988E63CBFF}"/>
    <cellStyle name="Comma 94" xfId="480" xr:uid="{F5524CF8-1465-4CF9-98DA-C5A75BE0C5E1}"/>
    <cellStyle name="Comma 94 2" xfId="2160" xr:uid="{B730FEB1-0ACE-4742-8E70-29E47529EE58}"/>
    <cellStyle name="Comma 94 3" xfId="2798" xr:uid="{AEE90107-FCA3-45AD-B50C-F59C76C81559}"/>
    <cellStyle name="Comma 95" xfId="481" xr:uid="{2A124193-978F-42AC-A386-19789EB0ECEE}"/>
    <cellStyle name="Comma 95 2" xfId="2161" xr:uid="{BE236C6F-3CA1-4FAB-AF70-EBD3D8996F13}"/>
    <cellStyle name="Comma 96" xfId="482" xr:uid="{88BA5C86-B2C5-4399-8EB5-1003F5447316}"/>
    <cellStyle name="Comma 96 2" xfId="2162" xr:uid="{4629C3D8-5DAB-461C-A60A-BE3A6FE8B561}"/>
    <cellStyle name="Comma 96 3" xfId="2799" xr:uid="{16B0F863-0493-463A-8AD8-52FFC9D52655}"/>
    <cellStyle name="Comma 97" xfId="483" xr:uid="{C0227B0A-1371-49AA-89E1-E6A87E63713D}"/>
    <cellStyle name="Comma 97 2" xfId="2163" xr:uid="{9F744CC2-AA8F-4F1C-AB2B-F1A04E76F62D}"/>
    <cellStyle name="Comma 97 3" xfId="2800" xr:uid="{10893678-511B-4971-89B7-114FE43CA3FB}"/>
    <cellStyle name="Comma 98" xfId="484" xr:uid="{32AE949C-DE85-4F7B-84AA-20A098D71BFD}"/>
    <cellStyle name="Comma 98 2" xfId="2164" xr:uid="{B17A036D-1BC8-4B6B-81A2-F2352EB7AC42}"/>
    <cellStyle name="Comma 98 3" xfId="2801" xr:uid="{71459960-EE9D-48BB-85CD-6B0671A0EB0E}"/>
    <cellStyle name="Comma 99" xfId="485" xr:uid="{8BB86230-0CB2-46D2-93C8-122AA9424D61}"/>
    <cellStyle name="Comma 99 2" xfId="2165" xr:uid="{95ACEEB8-C953-4B69-BD78-58321E56BF33}"/>
    <cellStyle name="Comma 99 3" xfId="2802" xr:uid="{8597FD3A-6E43-4CBA-83BC-080EFB17BCDC}"/>
    <cellStyle name="Copied" xfId="486" xr:uid="{7A6FE318-CE42-4706-AF2C-D8D247D2D081}"/>
    <cellStyle name="Currency [0] 2" xfId="488" xr:uid="{315B0992-368E-4758-A0BF-B309779DBAAC}"/>
    <cellStyle name="Currency [0] 2 2" xfId="2167" xr:uid="{DD0B5F45-2372-404F-B159-D4D2D1773254}"/>
    <cellStyle name="Currency [0] 2 3" xfId="2803" xr:uid="{12067035-5129-4024-BB6F-01099E8755C7}"/>
    <cellStyle name="Currency [0] 3" xfId="489" xr:uid="{8BDADB3F-6F5D-4944-B5EC-AA17351A77A8}"/>
    <cellStyle name="Currency [0] 3 2" xfId="2168" xr:uid="{93A66096-48FD-4674-ACD7-75C44EAB2FAD}"/>
    <cellStyle name="Currency [0] 3 3" xfId="2804" xr:uid="{E5490057-9DB7-4C47-90F2-DF3C144BC476}"/>
    <cellStyle name="Currency [0] 4" xfId="490" xr:uid="{424B68F0-DD66-4941-9A7B-D0BED4E975BA}"/>
    <cellStyle name="Currency [0] 4 2" xfId="2169" xr:uid="{AEFD1397-907D-4556-B013-ACEB56E4F45C}"/>
    <cellStyle name="Currency [0] 4 3" xfId="2805" xr:uid="{55EB47EE-2B3B-4BA0-845B-F1D34C002D98}"/>
    <cellStyle name="Currency [0] 5" xfId="491" xr:uid="{703FDAD2-E9A9-4934-A284-CEE415F87F1D}"/>
    <cellStyle name="Currency [0] 5 2" xfId="2170" xr:uid="{04399258-D612-489E-A187-97F948025240}"/>
    <cellStyle name="Currency [0] 5 3" xfId="2806" xr:uid="{9A0185F4-DD72-4C22-8465-EE852996A6FB}"/>
    <cellStyle name="Currency 10" xfId="492" xr:uid="{AFBB6649-AF5D-4ED7-95D1-79C71BB48533}"/>
    <cellStyle name="Currency 10 2" xfId="493" xr:uid="{BC9A02B9-1C54-4538-973B-6BE62A16F601}"/>
    <cellStyle name="Currency 10 2 2" xfId="2172" xr:uid="{06EB03EF-0B4B-414E-A8DD-76A7C04F65C6}"/>
    <cellStyle name="Currency 10 3" xfId="2171" xr:uid="{D24EABC3-4D8F-4BAB-9800-375275E647AF}"/>
    <cellStyle name="Currency 100" xfId="494" xr:uid="{62DBA44F-2BFC-451E-9F4B-BBBD5B75B409}"/>
    <cellStyle name="Currency 100 2" xfId="2173" xr:uid="{CDBFBCBD-BCAE-4145-8BAB-6BB3A2BB868E}"/>
    <cellStyle name="Currency 100 3" xfId="2807" xr:uid="{7FD11098-EF0F-4B40-8C0E-093997104F3F}"/>
    <cellStyle name="Currency 101" xfId="495" xr:uid="{3A05B438-191E-433A-8CA6-A79ED3592C45}"/>
    <cellStyle name="Currency 101 2" xfId="2174" xr:uid="{4A3C8C4B-3024-40C9-AE75-548BAA7708DA}"/>
    <cellStyle name="Currency 101 3" xfId="2808" xr:uid="{D0D86CCD-BC9A-47AF-8234-938D178C6C70}"/>
    <cellStyle name="Currency 102" xfId="496" xr:uid="{ABE5E1D1-6A20-4606-A3DB-A494E8A2881E}"/>
    <cellStyle name="Currency 102 2" xfId="2175" xr:uid="{01FE8C80-3304-458A-BE6C-78F2E3DA90DB}"/>
    <cellStyle name="Currency 102 3" xfId="2809" xr:uid="{E9B768C2-98C2-4CF2-B6CF-83206ACB1F7E}"/>
    <cellStyle name="Currency 103" xfId="497" xr:uid="{C2BC4B13-0625-47D5-80A7-F41B52D586CF}"/>
    <cellStyle name="Currency 103 2" xfId="2176" xr:uid="{4CBD1B7B-97A6-4281-B6F8-DECFF05D5FDF}"/>
    <cellStyle name="Currency 103 3" xfId="2810" xr:uid="{53E8C058-76B4-4D9A-9B33-98A46133CDCD}"/>
    <cellStyle name="Currency 104" xfId="498" xr:uid="{7639496E-1E79-4429-BB9A-C9B2C2155C5B}"/>
    <cellStyle name="Currency 104 2" xfId="2177" xr:uid="{D4C3235E-0C34-4EEC-BAB5-7137EE9C9160}"/>
    <cellStyle name="Currency 104 3" xfId="2811" xr:uid="{F7647A8D-C63A-439A-8BAA-EE7451DBC2A7}"/>
    <cellStyle name="Currency 105" xfId="499" xr:uid="{7FE8587C-201F-46E3-A4A7-D8874EE14AD6}"/>
    <cellStyle name="Currency 105 2" xfId="2178" xr:uid="{6A59F1C0-0D47-4974-B442-448BC2D59459}"/>
    <cellStyle name="Currency 105 3" xfId="2812" xr:uid="{66F78FD7-965A-47AF-82B4-195E8D1E7F67}"/>
    <cellStyle name="Currency 106" xfId="500" xr:uid="{7051F552-7C5E-45E9-9C33-90117A4DBD5E}"/>
    <cellStyle name="Currency 106 2" xfId="2179" xr:uid="{86F563B3-D7B9-41C3-BB1D-08883317863A}"/>
    <cellStyle name="Currency 106 3" xfId="2813" xr:uid="{2514C7E9-9D60-411C-84F7-146158788AF8}"/>
    <cellStyle name="Currency 107" xfId="501" xr:uid="{2FF690FE-63D6-450C-9F1D-1335BFF9538E}"/>
    <cellStyle name="Currency 107 2" xfId="2180" xr:uid="{9F262733-D29A-45EA-9549-05179A0CF306}"/>
    <cellStyle name="Currency 107 3" xfId="2814" xr:uid="{563C6095-3BBB-49AA-833F-6635098116D9}"/>
    <cellStyle name="Currency 108" xfId="502" xr:uid="{FC2F98C7-10BE-45ED-9883-0BF26527B0DD}"/>
    <cellStyle name="Currency 108 2" xfId="2181" xr:uid="{EA3A570C-BE8D-4E2B-8601-4507BD12E576}"/>
    <cellStyle name="Currency 108 3" xfId="2815" xr:uid="{B4BD286A-8F7F-4111-B982-41C9D963B912}"/>
    <cellStyle name="Currency 109" xfId="503" xr:uid="{15E268B8-371D-4643-9A7F-AAA5B661A08B}"/>
    <cellStyle name="Currency 109 2" xfId="2182" xr:uid="{E5A93382-3944-408C-95FD-77FB6F151DD0}"/>
    <cellStyle name="Currency 109 3" xfId="2816" xr:uid="{986561AE-9B98-47A5-8678-C060B32698CE}"/>
    <cellStyle name="Currency 11" xfId="504" xr:uid="{8FBE8FD9-25BC-4901-8BBE-F4BE52CECBDA}"/>
    <cellStyle name="Currency 11 2" xfId="505" xr:uid="{7EA17B8A-8C5C-4FCE-AE88-573FEB2C0195}"/>
    <cellStyle name="Currency 11 2 2" xfId="2184" xr:uid="{6E3B02FD-0155-43F7-A8E1-D56EFC2EBA06}"/>
    <cellStyle name="Currency 11 3" xfId="2183" xr:uid="{CD69166D-3371-419A-96C0-58F434953A9F}"/>
    <cellStyle name="Currency 110" xfId="506" xr:uid="{4A9BAC5B-8179-4316-BC38-419202A0EE75}"/>
    <cellStyle name="Currency 110 2" xfId="2185" xr:uid="{EC438707-17D3-4DFE-95C2-BCAB5ADBC549}"/>
    <cellStyle name="Currency 110 3" xfId="2817" xr:uid="{9D8A43EF-E1F9-4E34-A8B8-4767DF63A3CB}"/>
    <cellStyle name="Currency 111" xfId="507" xr:uid="{02C43F0C-51BE-4AE5-838B-4D90355B36B7}"/>
    <cellStyle name="Currency 111 2" xfId="2186" xr:uid="{80F92420-BF92-4839-8002-23BFE73D9D94}"/>
    <cellStyle name="Currency 111 3" xfId="2818" xr:uid="{5798BF7E-508C-43C4-BADB-791D837138B9}"/>
    <cellStyle name="Currency 112" xfId="508" xr:uid="{1031C047-34B2-430F-ADB2-0040B58636FD}"/>
    <cellStyle name="Currency 112 2" xfId="2187" xr:uid="{D53DADFC-3E77-46AF-A5BE-1A22C03A4F31}"/>
    <cellStyle name="Currency 112 3" xfId="2819" xr:uid="{2FE4B71E-3C37-4A41-B4AA-48D99547B3F2}"/>
    <cellStyle name="Currency 113" xfId="509" xr:uid="{DF33F21A-A3DC-444C-8AA3-DE84B65C5872}"/>
    <cellStyle name="Currency 114" xfId="510" xr:uid="{172E5176-2E41-421E-931A-DA6474688B4E}"/>
    <cellStyle name="Currency 114 2" xfId="2188" xr:uid="{BA58A6B5-88B0-4CBA-AE38-8DA09555AD1B}"/>
    <cellStyle name="Currency 114 3" xfId="2820" xr:uid="{85F573CD-DE92-4B52-AA4A-FF5141CCC84A}"/>
    <cellStyle name="Currency 115" xfId="511" xr:uid="{F1AB3676-95D4-4799-95E2-42A4F88C372A}"/>
    <cellStyle name="Currency 115 2" xfId="512" xr:uid="{D2750315-AEEF-47E0-80AF-B83C91F0AB1A}"/>
    <cellStyle name="Currency 115 2 2" xfId="2190" xr:uid="{65F31537-D87E-40E7-AF7E-B3892F05E1B0}"/>
    <cellStyle name="Currency 115 2 3" xfId="2989" xr:uid="{E358AF21-93E6-4102-B64A-6D82D4E211EA}"/>
    <cellStyle name="Currency 115 3" xfId="2189" xr:uid="{3619FF54-47D4-4D79-AE3F-B76F8D78083A}"/>
    <cellStyle name="Currency 115 4" xfId="2821" xr:uid="{7DA52EF2-5F0E-431F-ADAA-87350CBCDD8B}"/>
    <cellStyle name="Currency 116" xfId="513" xr:uid="{5F4E0AF5-8B51-488B-9046-D6D29E828929}"/>
    <cellStyle name="Currency 116 2" xfId="2191" xr:uid="{DEDE270B-26FF-4450-B55C-F3630D65A532}"/>
    <cellStyle name="Currency 116 3" xfId="2822" xr:uid="{C1728472-6CBB-4C2B-9358-3B38389893A9}"/>
    <cellStyle name="Currency 117" xfId="514" xr:uid="{D2511C8E-B354-47C1-8DF8-CD3CD8A6672D}"/>
    <cellStyle name="Currency 117 2" xfId="2192" xr:uid="{214A4B81-FCB0-468F-A54D-FAABFD258FCC}"/>
    <cellStyle name="Currency 117 3" xfId="2823" xr:uid="{0C6FD4C4-9502-457F-B423-682DAC4992F6}"/>
    <cellStyle name="Currency 118" xfId="515" xr:uid="{E0E27DE4-F237-4187-BECD-DC2521F969C3}"/>
    <cellStyle name="Currency 118 2" xfId="2193" xr:uid="{C925FFB5-F342-4020-A56A-1BCFDFF177B8}"/>
    <cellStyle name="Currency 118 3" xfId="2824" xr:uid="{46D87C58-34AF-4594-8808-417121C68B2A}"/>
    <cellStyle name="Currency 119" xfId="516" xr:uid="{52060471-DFF8-45FE-8A7B-A848A7566CC7}"/>
    <cellStyle name="Currency 119 2" xfId="2194" xr:uid="{B913B0A9-CE0C-462F-BCC2-21636FAB53E4}"/>
    <cellStyle name="Currency 119 3" xfId="2985" xr:uid="{1934DDAA-14FE-4AC3-BE15-0360374D4424}"/>
    <cellStyle name="Currency 12" xfId="517" xr:uid="{8DA7F212-10D8-44EF-8D13-906CC88CCAE9}"/>
    <cellStyle name="Currency 12 2" xfId="518" xr:uid="{B0E05ECF-9298-41AD-9964-B18B194CC6A2}"/>
    <cellStyle name="Currency 12 2 2" xfId="2196" xr:uid="{0EBB5365-ED81-47CF-B67F-3AB0589F997C}"/>
    <cellStyle name="Currency 12 3" xfId="2195" xr:uid="{7712DCD8-058F-4CC3-BC43-29DAB0505F63}"/>
    <cellStyle name="Currency 120" xfId="487" xr:uid="{22549586-A230-4727-88CC-A50BF8247681}"/>
    <cellStyle name="Currency 121" xfId="2166" xr:uid="{91C7E379-4D7B-4B65-8C46-5F5283D604C4}"/>
    <cellStyle name="Currency 122" xfId="3037" xr:uid="{AA7C4CA2-E676-4D38-B3FB-DB31EC726FA2}"/>
    <cellStyle name="Currency 123" xfId="3053" xr:uid="{55B1FB28-7664-4281-9659-FF9A869044DA}"/>
    <cellStyle name="Currency 124" xfId="3054" xr:uid="{DE0DC999-5581-4E3E-AB60-CCE4391146F8}"/>
    <cellStyle name="Currency 125" xfId="3070" xr:uid="{3E9CADEB-03C3-4209-88A3-CEC176FAC5F4}"/>
    <cellStyle name="Currency 126" xfId="3080" xr:uid="{445BF0C6-F911-4329-9E52-25C5C740679A}"/>
    <cellStyle name="Currency 127" xfId="3082" xr:uid="{BFD0957A-A5CF-463F-897E-FB03E817CBFF}"/>
    <cellStyle name="Currency 128" xfId="3078" xr:uid="{2C4D8CD7-1592-431E-B2AA-984683E2AF98}"/>
    <cellStyle name="Currency 13" xfId="519" xr:uid="{7046438E-9C83-42C1-B048-44665872166E}"/>
    <cellStyle name="Currency 13 2" xfId="520" xr:uid="{A122277E-ABD6-4273-91D2-76B9D8964B4A}"/>
    <cellStyle name="Currency 13 2 2" xfId="2198" xr:uid="{5DA224AE-360B-43B8-8C06-AE23AEA6AA35}"/>
    <cellStyle name="Currency 13 3" xfId="2197" xr:uid="{EEA1A3AE-0713-42B1-AD01-A62F13B4B800}"/>
    <cellStyle name="Currency 14" xfId="521" xr:uid="{DEF203E9-CEA3-423D-84BA-5EC55B67BF80}"/>
    <cellStyle name="Currency 14 2" xfId="522" xr:uid="{72708843-E9E7-405C-99FC-04AD4A058E48}"/>
    <cellStyle name="Currency 14 2 2" xfId="2200" xr:uid="{1ABD0916-5644-43C5-82FA-EAE2F35E3000}"/>
    <cellStyle name="Currency 14 3" xfId="2199" xr:uid="{489D6E22-3352-4F21-AE67-0A0C4221D6FB}"/>
    <cellStyle name="Currency 15" xfId="523" xr:uid="{845EE672-58C5-45F1-9561-8DC4A90D173B}"/>
    <cellStyle name="Currency 15 2" xfId="524" xr:uid="{ED7877C7-1C06-437E-8234-00BB97C7E70B}"/>
    <cellStyle name="Currency 15 2 2" xfId="2202" xr:uid="{79749DE7-6C58-4939-837B-D5BEF9273206}"/>
    <cellStyle name="Currency 15 3" xfId="2201" xr:uid="{F28F7023-CD0D-4A9E-A468-0A2679AF72F3}"/>
    <cellStyle name="Currency 16" xfId="525" xr:uid="{73114069-A60B-4FCB-A767-5DAEE8D78793}"/>
    <cellStyle name="Currency 16 2" xfId="526" xr:uid="{8A2F0AA7-BF74-471B-8EFF-289F087D0308}"/>
    <cellStyle name="Currency 16 2 2" xfId="2204" xr:uid="{C1E69352-FCE1-4CC1-9EEF-C31F4AF04238}"/>
    <cellStyle name="Currency 16 3" xfId="2203" xr:uid="{B1572EA1-B476-4A16-8DFF-56947F164E07}"/>
    <cellStyle name="Currency 17" xfId="527" xr:uid="{D95CFCFF-3233-4F38-9325-3516890D6BB3}"/>
    <cellStyle name="Currency 17 2" xfId="528" xr:uid="{15BADFAB-CABC-40B4-B95C-B4961E0908CB}"/>
    <cellStyle name="Currency 17 2 2" xfId="2206" xr:uid="{273CF787-F4CC-4289-9BBF-4E5A8842D925}"/>
    <cellStyle name="Currency 17 3" xfId="2205" xr:uid="{08B09822-C25D-4372-B544-D68EC884C758}"/>
    <cellStyle name="Currency 18" xfId="529" xr:uid="{BA2B72B8-25FE-49D8-872E-6AF72474CAF4}"/>
    <cellStyle name="Currency 18 2" xfId="530" xr:uid="{5309A9FE-E3A4-4D6D-9A62-DCBE47FC2697}"/>
    <cellStyle name="Currency 18 2 2" xfId="2208" xr:uid="{3BC587AF-752C-4496-80F7-15DC68881AA7}"/>
    <cellStyle name="Currency 18 3" xfId="2207" xr:uid="{216BA9FB-23CF-46BB-B275-820378482FA5}"/>
    <cellStyle name="Currency 19" xfId="531" xr:uid="{F2EB5826-B33F-420E-9117-D1082A9F5B45}"/>
    <cellStyle name="Currency 19 2" xfId="532" xr:uid="{61B3B28A-A507-4FEC-9A75-E8FBFA966B87}"/>
    <cellStyle name="Currency 19 2 2" xfId="2210" xr:uid="{9C162A14-9318-4289-8BDC-9408DFCD4DE5}"/>
    <cellStyle name="Currency 19 3" xfId="2209" xr:uid="{31825CD0-2DCA-4A33-AB38-02FAC81A5DF2}"/>
    <cellStyle name="Currency 2" xfId="533" xr:uid="{F60766BA-E4B4-4EDE-A9E5-861B9E14E8D0}"/>
    <cellStyle name="Currency 2 10" xfId="534" xr:uid="{241C5ABF-7CC1-4F40-A25C-2625BC4FD79A}"/>
    <cellStyle name="Currency 2 10 2" xfId="2212" xr:uid="{17A4A945-4834-4BB3-9AAF-A7E60C0FEB47}"/>
    <cellStyle name="Currency 2 10 3" xfId="2825" xr:uid="{1E4BE537-465A-4542-B8F1-CA00D5E01C31}"/>
    <cellStyle name="Currency 2 11" xfId="535" xr:uid="{2777744C-1647-4F82-B2A7-2FDA0D81E8F7}"/>
    <cellStyle name="Currency 2 12" xfId="536" xr:uid="{6C9DC067-AF0D-46FB-833B-80808F396F68}"/>
    <cellStyle name="Currency 2 12 2" xfId="2213" xr:uid="{82758977-7744-4EB0-A82B-E289E895F06C}"/>
    <cellStyle name="Currency 2 13" xfId="2211" xr:uid="{5E4E6AB3-19D7-42C4-8AEA-E248535E4EB3}"/>
    <cellStyle name="Currency 2 14" xfId="537" xr:uid="{4543E4BE-C4F7-400D-AC95-2ECAEE402A1D}"/>
    <cellStyle name="Currency 2 14 2" xfId="2214" xr:uid="{8D10AAE3-E2C2-4534-A10B-0BA982967371}"/>
    <cellStyle name="Currency 2 14 3" xfId="2991" xr:uid="{AB4B5C04-7415-42D5-AC32-2AF1AF1D6EB2}"/>
    <cellStyle name="Currency 2 2" xfId="538" xr:uid="{752EF0D6-6EF5-4A13-889A-F10AF16D1640}"/>
    <cellStyle name="Currency 2 2 2" xfId="539" xr:uid="{E1E18339-3CEB-441F-83E8-421418D544D2}"/>
    <cellStyle name="Currency 2 2 2 2" xfId="540" xr:uid="{C68B6DC5-FA70-46BC-8767-F6D88E5BB7A1}"/>
    <cellStyle name="Currency 2 2 2 3" xfId="541" xr:uid="{5B8A175B-5983-47B2-985C-67BE43C9F06B}"/>
    <cellStyle name="Currency 2 2 3" xfId="542" xr:uid="{5D9EEBA0-34A4-4687-9422-EEE4CD9ED893}"/>
    <cellStyle name="Currency 2 2 4" xfId="543" xr:uid="{637DEDFD-221C-479B-A93F-68DD850B6B6C}"/>
    <cellStyle name="Currency 2 2 5" xfId="544" xr:uid="{2FA9CC09-9159-4858-87A5-79C730F53A13}"/>
    <cellStyle name="Currency 2 2 5 2" xfId="2215" xr:uid="{C41F0FF0-5431-4B7E-A016-CFABC04475BC}"/>
    <cellStyle name="Currency 2 2 5 3" xfId="2826" xr:uid="{2AF55B10-1BAF-4B68-82E6-37F36EF3BED5}"/>
    <cellStyle name="Currency 2 2 6" xfId="545" xr:uid="{3BE37E47-B62C-463D-A8C6-6A0B57C250C9}"/>
    <cellStyle name="Currency 2 2 7" xfId="546" xr:uid="{5AD652C0-B16C-4667-B25D-08129D06C0A0}"/>
    <cellStyle name="Currency 2 3" xfId="547" xr:uid="{A0D1F572-4BE7-4CBE-8D32-5D32D75F9833}"/>
    <cellStyle name="Currency 2 3 2" xfId="548" xr:uid="{786502C0-803B-4F51-95E6-9DEE006D6EDC}"/>
    <cellStyle name="Currency 2 3 2 2" xfId="549" xr:uid="{03474B1D-2F52-43B3-AAF7-0A1DAE2E3DA5}"/>
    <cellStyle name="Currency 2 3 2 3" xfId="550" xr:uid="{7093E3BD-7119-4576-B288-3D6735D57636}"/>
    <cellStyle name="Currency 2 3 2 4" xfId="551" xr:uid="{5CB6B3BD-BA02-4EDF-8767-FCC3493568DC}"/>
    <cellStyle name="Currency 2 3 2 4 2" xfId="2217" xr:uid="{8E589CA9-9066-4759-AEC5-4D79CF7F3CA2}"/>
    <cellStyle name="Currency 2 3 2 5" xfId="2216" xr:uid="{3D53E815-F567-4285-9B6C-63DECC24160E}"/>
    <cellStyle name="Currency 2 3 3" xfId="552" xr:uid="{FCD7C93D-8237-406A-9639-749B33AC9AEC}"/>
    <cellStyle name="Currency 2 3 3 2" xfId="553" xr:uid="{D7B1307A-3DA1-4849-9906-FA41331B5346}"/>
    <cellStyle name="Currency 2 3 3 2 2" xfId="2219" xr:uid="{CB43F4C4-44CA-4A09-807A-7B1DD85B35E0}"/>
    <cellStyle name="Currency 2 3 3 3" xfId="2218" xr:uid="{0D600AC8-4390-4F45-86FF-A5F80204E117}"/>
    <cellStyle name="Currency 2 4" xfId="554" xr:uid="{6481D0BB-70A3-4BAC-90F1-6AB56F292F89}"/>
    <cellStyle name="Currency 2 4 2" xfId="555" xr:uid="{42192C57-6877-48C4-A758-628958E6640F}"/>
    <cellStyle name="Currency 2 4 2 2" xfId="2221" xr:uid="{892FBC6F-2685-4983-B6A5-4400CB4DE0A0}"/>
    <cellStyle name="Currency 2 4 3" xfId="2220" xr:uid="{F6A25185-9FD5-4709-A503-2A44ED8084B4}"/>
    <cellStyle name="Currency 2 5" xfId="556" xr:uid="{396F5CD9-60E3-4682-B509-E34785A1B8F3}"/>
    <cellStyle name="Currency 2 6" xfId="557" xr:uid="{D6F3E5A9-C3A6-4E6E-9939-AEA170A8AAAF}"/>
    <cellStyle name="Currency 2 6 2" xfId="558" xr:uid="{A984811B-808C-410B-8093-36F23A5DF975}"/>
    <cellStyle name="Currency 2 6 2 2" xfId="2827" xr:uid="{8B91976F-9410-41D9-AC85-285916FB2101}"/>
    <cellStyle name="Currency 2 6 3" xfId="559" xr:uid="{AE3592C5-9C75-403D-B3F1-FA070681DC28}"/>
    <cellStyle name="Currency 2 7" xfId="560" xr:uid="{AAE68E8B-C50B-4F88-962E-067063471FFA}"/>
    <cellStyle name="Currency 2 8" xfId="561" xr:uid="{70868858-2071-46D3-B67E-F50EBE1198FE}"/>
    <cellStyle name="Currency 2 9" xfId="562" xr:uid="{2B606501-B9F3-48BF-8B7D-888AF2997BC8}"/>
    <cellStyle name="Currency 2 9 2" xfId="2222" xr:uid="{726678E2-C8C6-48A3-8A51-276ABF8ABA5E}"/>
    <cellStyle name="Currency 20" xfId="563" xr:uid="{55530DCB-90EF-44D8-9A39-5FDD47B1B62D}"/>
    <cellStyle name="Currency 20 2" xfId="564" xr:uid="{D3C0CC7F-1C27-49A9-825E-F72AA6746BAF}"/>
    <cellStyle name="Currency 20 2 2" xfId="2224" xr:uid="{2987294E-87AB-44D1-8B19-4FD8536C5934}"/>
    <cellStyle name="Currency 20 3" xfId="2223" xr:uid="{2D124746-A72E-47BA-AE54-66CE15EA02E1}"/>
    <cellStyle name="Currency 200 3" xfId="3038" xr:uid="{449EADD1-5934-4EF1-9B16-53ABBFE39E62}"/>
    <cellStyle name="Currency 201" xfId="565" xr:uid="{3378AB83-B541-421E-9716-10305E583335}"/>
    <cellStyle name="Currency 201 2" xfId="2225" xr:uid="{D782F1B5-A4A9-4294-BCA8-3F6B933C0FBD}"/>
    <cellStyle name="Currency 201 2 2" xfId="3039" xr:uid="{AF2D6E6E-DEFD-413D-A288-F0ED4490DFB9}"/>
    <cellStyle name="Currency 201 3" xfId="2992" xr:uid="{B777293E-C237-49B4-B0F2-A1E1CA1B54F0}"/>
    <cellStyle name="Currency 203" xfId="566" xr:uid="{AF25A1AB-0BD9-44B4-980D-130B6A770C8F}"/>
    <cellStyle name="Currency 203 2" xfId="2226" xr:uid="{B07BA2FA-400F-4AA7-99D3-B81486B7C589}"/>
    <cellStyle name="Currency 204" xfId="3040" xr:uid="{485ADF1E-6724-4C36-A1CE-759FFFA1C02C}"/>
    <cellStyle name="Currency 205" xfId="3041" xr:uid="{9460325A-08FA-48C2-BC57-78F1333583C3}"/>
    <cellStyle name="Currency 21" xfId="567" xr:uid="{D8E48FA2-613A-416E-AC26-3EDA316AB8C9}"/>
    <cellStyle name="Currency 21 2" xfId="568" xr:uid="{2038B534-38D4-4DF7-9727-869EC89F4C69}"/>
    <cellStyle name="Currency 21 2 2" xfId="2228" xr:uid="{AC495A08-7821-4598-824C-0626DF21FADC}"/>
    <cellStyle name="Currency 21 3" xfId="2227" xr:uid="{D841E946-6D37-45EA-8A8E-F38789751C7A}"/>
    <cellStyle name="Currency 22" xfId="569" xr:uid="{AE5170A6-0632-4F87-B0B2-54FD94712CD8}"/>
    <cellStyle name="Currency 22 2" xfId="570" xr:uid="{0628C5E4-F12D-401E-BA28-91A8785ED2D2}"/>
    <cellStyle name="Currency 22 2 2" xfId="2230" xr:uid="{281A33EC-B9D8-4D03-B533-91283E260349}"/>
    <cellStyle name="Currency 22 3" xfId="2229" xr:uid="{48D645DE-5FF9-44B0-B728-989445312A0B}"/>
    <cellStyle name="Currency 23" xfId="571" xr:uid="{2CC83FF7-C784-4F8D-BEC5-9E4EABB48FF1}"/>
    <cellStyle name="Currency 23 2" xfId="572" xr:uid="{867C6276-AC82-43C7-8A3A-1ECD5E05B4C0}"/>
    <cellStyle name="Currency 23 2 2" xfId="2232" xr:uid="{239F4B00-EEFF-4D99-94FA-AE5D18C5B0A0}"/>
    <cellStyle name="Currency 23 3" xfId="2231" xr:uid="{37056392-D96E-4831-B2DC-C990B19A26C5}"/>
    <cellStyle name="Currency 24" xfId="573" xr:uid="{3F15C812-47F1-43BD-87A0-C2C512C132EE}"/>
    <cellStyle name="Currency 24 2" xfId="574" xr:uid="{49A1F432-ACBA-439F-8E65-F5B3E59904E4}"/>
    <cellStyle name="Currency 24 2 2" xfId="2234" xr:uid="{90548FAC-D3D5-43C5-BEBF-929D59B51091}"/>
    <cellStyle name="Currency 24 3" xfId="2233" xr:uid="{0028B111-DDE1-4621-A7CE-261E0F15E30B}"/>
    <cellStyle name="Currency 25" xfId="575" xr:uid="{93B9A658-FCB2-4995-8AB0-68C65C2525A3}"/>
    <cellStyle name="Currency 25 2" xfId="576" xr:uid="{A167D8BA-162E-4E80-8E38-2C07E0290847}"/>
    <cellStyle name="Currency 25 2 2" xfId="2236" xr:uid="{0C7C9FBD-FD30-47BF-BE89-19B778C01CF4}"/>
    <cellStyle name="Currency 25 3" xfId="2235" xr:uid="{14B9CE18-24BB-470C-8857-02144181438F}"/>
    <cellStyle name="Currency 26" xfId="577" xr:uid="{472C4856-E08F-42FA-8DE7-EAE016C40A8E}"/>
    <cellStyle name="Currency 26 2" xfId="578" xr:uid="{87C48051-B32D-4D51-B3A1-4566186121F2}"/>
    <cellStyle name="Currency 26 2 2" xfId="2238" xr:uid="{C6DAEF82-D76A-4A53-9B5B-57E021659A8B}"/>
    <cellStyle name="Currency 26 3" xfId="2237" xr:uid="{890F9B21-4849-416B-96B9-6E838EB92F2A}"/>
    <cellStyle name="Currency 27" xfId="579" xr:uid="{54BBB15D-C0B8-49EA-93B1-E0DFD356B2C2}"/>
    <cellStyle name="Currency 27 2" xfId="580" xr:uid="{DCA867DD-1837-4212-93D3-0E98045673BF}"/>
    <cellStyle name="Currency 27 2 2" xfId="2240" xr:uid="{70C065E5-35F7-4078-8309-6DABAA919666}"/>
    <cellStyle name="Currency 27 3" xfId="2239" xr:uid="{3B94BEDD-88D8-457A-8E67-A5BFAC961DF3}"/>
    <cellStyle name="Currency 28" xfId="581" xr:uid="{3E8777FF-248E-47EE-8459-C9EE24E30549}"/>
    <cellStyle name="Currency 28 2" xfId="582" xr:uid="{1074E6DB-E405-4B86-A006-D48DA80A1D67}"/>
    <cellStyle name="Currency 28 2 2" xfId="2242" xr:uid="{3DBF7789-9C6C-405D-B59B-883416467159}"/>
    <cellStyle name="Currency 28 3" xfId="2241" xr:uid="{4D8E9F90-CE95-4BAF-83E7-3EA81363A688}"/>
    <cellStyle name="Currency 29" xfId="583" xr:uid="{5A2F5381-D72F-4D49-8188-7497CC483C33}"/>
    <cellStyle name="Currency 29 2" xfId="2243" xr:uid="{254C7A6F-DACA-4623-B2D1-66A763BBE7EE}"/>
    <cellStyle name="Currency 29 3" xfId="2828" xr:uid="{8FFC9B03-86B9-40B6-896A-8B7033C5CD89}"/>
    <cellStyle name="Currency 3" xfId="584" xr:uid="{87A9A731-96D2-4310-A5FB-AE1EAB2AEAE5}"/>
    <cellStyle name="Currency 3 2" xfId="585" xr:uid="{16975716-559D-4834-A1D9-750457D55AE7}"/>
    <cellStyle name="Currency 3 2 2" xfId="586" xr:uid="{0669489F-F278-404F-A596-03CBFA4B964C}"/>
    <cellStyle name="Currency 3 2 2 2" xfId="587" xr:uid="{52A243A9-F0D0-4297-A274-4342280186B1}"/>
    <cellStyle name="Currency 3 2 2 3" xfId="588" xr:uid="{0A48D61C-4BC8-4AB3-895B-318BB79A04CD}"/>
    <cellStyle name="Currency 3 2 2 4" xfId="589" xr:uid="{58D9276E-22AC-4740-B6AC-1E4509B61C93}"/>
    <cellStyle name="Currency 3 2 2 4 2" xfId="2246" xr:uid="{F316260B-200C-4697-A372-CAFA6B79D181}"/>
    <cellStyle name="Currency 3 2 2 5" xfId="2245" xr:uid="{9DA7F7AF-6504-463D-BD50-CD4E367B6380}"/>
    <cellStyle name="Currency 3 2 3" xfId="590" xr:uid="{AE5D0621-69C9-4E19-9929-63D875903B66}"/>
    <cellStyle name="Currency 3 2 3 2" xfId="591" xr:uid="{AAA0D4D4-E338-4808-94B9-B2786C669ACF}"/>
    <cellStyle name="Currency 3 2 3 2 2" xfId="2248" xr:uid="{610D86B2-36C0-4D46-A98B-4BA84C24DE96}"/>
    <cellStyle name="Currency 3 2 3 3" xfId="2247" xr:uid="{C70B0445-E94D-4A55-B492-24DFD3BC7FEE}"/>
    <cellStyle name="Currency 3 3" xfId="592" xr:uid="{D9C90717-8739-4684-8D1B-5CF391DB1720}"/>
    <cellStyle name="Currency 3 3 2" xfId="593" xr:uid="{78C8B9C3-DFEE-48AE-9384-C4ED319CFA04}"/>
    <cellStyle name="Currency 3 3 2 2" xfId="2250" xr:uid="{EC11F427-DC3E-4B16-A126-623DE318B67C}"/>
    <cellStyle name="Currency 3 3 3" xfId="2249" xr:uid="{6D18AEEE-52C8-454C-AAF3-9E6CFCFED6BF}"/>
    <cellStyle name="Currency 3 4" xfId="594" xr:uid="{EE3F1245-6FCD-4576-8B03-E0AB707D152B}"/>
    <cellStyle name="Currency 3 5" xfId="595" xr:uid="{8F84BC20-23AD-450A-A6BE-94CCD13CC17E}"/>
    <cellStyle name="Currency 3 6" xfId="596" xr:uid="{A6FA24C8-0156-435F-BDC1-6F96FE267A82}"/>
    <cellStyle name="Currency 3 6 2" xfId="2251" xr:uid="{7C4007FC-DEC8-440A-AB26-BE9B2FFBC1EC}"/>
    <cellStyle name="Currency 3 7" xfId="597" xr:uid="{EB8B03CE-6518-4F12-B576-F90C4AB9CBDE}"/>
    <cellStyle name="Currency 3 7 2" xfId="2252" xr:uid="{624DF120-A592-4891-BA16-4449FAA85D2E}"/>
    <cellStyle name="Currency 3 7 3" xfId="2829" xr:uid="{36872DD7-7497-45BD-AD6E-BCB3FE4D9651}"/>
    <cellStyle name="Currency 3 8" xfId="2244" xr:uid="{DFAF78FB-DD7B-4295-B806-2176E3C5F590}"/>
    <cellStyle name="Currency 3 9" xfId="3066" xr:uid="{478DA6D6-36B8-48EA-8B48-67F745C99E4A}"/>
    <cellStyle name="Currency 30" xfId="598" xr:uid="{0A84BA81-86DA-4449-8CDF-48DAD348B0A2}"/>
    <cellStyle name="Currency 30 2" xfId="599" xr:uid="{D9A16851-3432-4E48-A088-48F4514C07EE}"/>
    <cellStyle name="Currency 30 2 2" xfId="2254" xr:uid="{5BD13F69-218C-48F7-BFEF-3BF300418584}"/>
    <cellStyle name="Currency 30 3" xfId="2253" xr:uid="{04B230EC-0D71-4599-83EF-92E28983D1E3}"/>
    <cellStyle name="Currency 31" xfId="600" xr:uid="{FD0F80A7-AFE4-4954-BC04-750AE7CC43F1}"/>
    <cellStyle name="Currency 31 2" xfId="601" xr:uid="{07FD2FC8-391F-4633-BA36-11A62CA430D5}"/>
    <cellStyle name="Currency 31 2 2" xfId="2256" xr:uid="{6952FE4A-9A80-4930-93D7-15FD674CFFAA}"/>
    <cellStyle name="Currency 31 3" xfId="2255" xr:uid="{36F5052D-809C-4899-99D9-60C45EF563DF}"/>
    <cellStyle name="Currency 32" xfId="602" xr:uid="{023E39F7-9B35-4EAB-82E5-6B5A82E8FB30}"/>
    <cellStyle name="Currency 32 2" xfId="603" xr:uid="{7B364CD2-F114-4DEC-BAEA-A2C12B163A1E}"/>
    <cellStyle name="Currency 32 2 2" xfId="2258" xr:uid="{D40FE1DF-6751-4A2C-943E-6B1ECB61EFB3}"/>
    <cellStyle name="Currency 32 3" xfId="2257" xr:uid="{102CC41B-3FE1-433B-951E-F64A19A2C12D}"/>
    <cellStyle name="Currency 33" xfId="604" xr:uid="{8F9167B3-5A95-41CF-8BF6-1A8F4FA95340}"/>
    <cellStyle name="Currency 33 2" xfId="605" xr:uid="{DAC6A2DB-688D-4B03-BC82-7BFABF84513D}"/>
    <cellStyle name="Currency 33 2 2" xfId="2260" xr:uid="{07A6D7EA-16B5-41C2-B61A-0B305F2F539A}"/>
    <cellStyle name="Currency 33 3" xfId="2259" xr:uid="{FFDCF60F-8079-4547-BC0F-0EE788E838CF}"/>
    <cellStyle name="Currency 34" xfId="606" xr:uid="{60C3FF16-B905-4611-ABC4-189B2E333A43}"/>
    <cellStyle name="Currency 34 2" xfId="607" xr:uid="{2FA5C313-A254-4BA6-A9BB-E307A356D875}"/>
    <cellStyle name="Currency 34 2 2" xfId="2262" xr:uid="{94596B42-47BC-4048-B50D-CD278886BCB0}"/>
    <cellStyle name="Currency 34 3" xfId="2261" xr:uid="{6A5FCEF9-E1F3-47EB-9E4D-D7002F0B08BE}"/>
    <cellStyle name="Currency 35" xfId="608" xr:uid="{A23F1CDF-5FD3-498D-B476-1A8738036E0B}"/>
    <cellStyle name="Currency 35 2" xfId="609" xr:uid="{55906E95-6E02-4803-9DDA-C9DD0F98201E}"/>
    <cellStyle name="Currency 35 2 2" xfId="2264" xr:uid="{32FDB17D-CCDC-460D-A8FA-6B0F55773FA7}"/>
    <cellStyle name="Currency 35 3" xfId="2263" xr:uid="{06D9F28A-C450-4A71-9F6F-8106B9BC3270}"/>
    <cellStyle name="Currency 36" xfId="610" xr:uid="{10B34491-FE26-4ECC-925B-67407615B202}"/>
    <cellStyle name="Currency 36 2" xfId="611" xr:uid="{5894B467-907E-48BD-B223-87BA59A15F7D}"/>
    <cellStyle name="Currency 36 2 2" xfId="2266" xr:uid="{3269E601-8BDB-41D1-8EB8-9009F88046AA}"/>
    <cellStyle name="Currency 36 3" xfId="2265" xr:uid="{8E81A2A1-5CA8-4DB0-BE89-0B5469DB9BDF}"/>
    <cellStyle name="Currency 37" xfId="612" xr:uid="{567937CB-A018-47E2-8C5C-13DD531C1528}"/>
    <cellStyle name="Currency 37 2" xfId="613" xr:uid="{3BC0CC75-960F-4FE1-918F-D1A4250F2BCD}"/>
    <cellStyle name="Currency 37 2 2" xfId="2268" xr:uid="{8DCB9A6D-EE6E-4DA6-A46A-786B89FBB8E9}"/>
    <cellStyle name="Currency 37 3" xfId="2267" xr:uid="{A2E447AE-6FB4-49D4-B56D-5909EFCB986F}"/>
    <cellStyle name="Currency 38" xfId="614" xr:uid="{0C9803FF-3578-41C3-AD1F-2CA935FBC609}"/>
    <cellStyle name="Currency 38 2" xfId="615" xr:uid="{310A1C41-52AE-4BDD-A486-6D7A8A38FCD0}"/>
    <cellStyle name="Currency 38 2 2" xfId="2270" xr:uid="{1D9CB23D-78EA-4E49-A337-E86CAB5DD633}"/>
    <cellStyle name="Currency 38 3" xfId="2269" xr:uid="{D51F9874-F5A1-4CD5-BEA6-F3E77691C8A7}"/>
    <cellStyle name="Currency 39" xfId="616" xr:uid="{24A354D2-0398-445F-95B0-79E77F55EEBB}"/>
    <cellStyle name="Currency 39 2" xfId="617" xr:uid="{35FBCAF0-DB68-4970-8FB6-C0277CC9BBAD}"/>
    <cellStyle name="Currency 39 2 2" xfId="2272" xr:uid="{FF47AA76-C16D-4DDD-9CB6-FDF4801E9D6A}"/>
    <cellStyle name="Currency 39 3" xfId="2271" xr:uid="{27904756-9EAD-43E4-B9D2-2C6832399931}"/>
    <cellStyle name="Currency 4" xfId="618" xr:uid="{B8F6A024-E279-4922-9AB2-C61BF7CBDFC8}"/>
    <cellStyle name="Currency 4 2" xfId="619" xr:uid="{179F92F3-4978-4FF4-A40F-89742CFF13CF}"/>
    <cellStyle name="Currency 4 2 2" xfId="620" xr:uid="{0A161776-31B1-4598-9D93-627F16594598}"/>
    <cellStyle name="Currency 4 2 2 2" xfId="621" xr:uid="{DE16FAD6-A127-45B5-A656-951EEF39BD6C}"/>
    <cellStyle name="Currency 4 2 2 2 2" xfId="622" xr:uid="{C61F3BA7-A8EF-4C3F-9B0A-F83443E5B5F1}"/>
    <cellStyle name="Currency 4 2 2 2 2 2" xfId="2276" xr:uid="{6FE9B208-E726-4ABE-A207-C60AF9C65D23}"/>
    <cellStyle name="Currency 4 2 2 2 3" xfId="2275" xr:uid="{A4C58EBF-2EEE-432D-B670-D1FAB0D6FE7B}"/>
    <cellStyle name="Currency 4 2 2 3" xfId="623" xr:uid="{9A2AC879-3290-4F64-9DED-2BB5955B4B8F}"/>
    <cellStyle name="Currency 4 2 2 3 2" xfId="2277" xr:uid="{D69AF152-3FD7-4AF7-BAB0-81FB13755189}"/>
    <cellStyle name="Currency 4 2 2 4" xfId="2274" xr:uid="{3BC46B87-6C09-4232-B889-55D20C9C1086}"/>
    <cellStyle name="Currency 4 2 3" xfId="624" xr:uid="{058CF1A2-2B0F-4BA3-BA25-860787E5C603}"/>
    <cellStyle name="Currency 4 2 3 2" xfId="625" xr:uid="{598CEAFF-79B8-46AB-86AF-8551163D7E3F}"/>
    <cellStyle name="Currency 4 2 3 2 2" xfId="626" xr:uid="{CC3D371B-D4CD-4A3B-814B-6610142054E4}"/>
    <cellStyle name="Currency 4 2 3 2 2 2" xfId="2280" xr:uid="{38E26D78-D22D-4493-A458-EA3667EB53A1}"/>
    <cellStyle name="Currency 4 2 3 2 3" xfId="2279" xr:uid="{09DDCA1D-F4F9-42EF-B147-8E92920D41A8}"/>
    <cellStyle name="Currency 4 2 3 3" xfId="627" xr:uid="{47F83806-BA79-4877-AE97-E83975C5680E}"/>
    <cellStyle name="Currency 4 2 3 3 2" xfId="2281" xr:uid="{9D90F0D3-9991-4BB8-BC87-7EE09D94D829}"/>
    <cellStyle name="Currency 4 2 3 4" xfId="2278" xr:uid="{C09E4301-5F26-41D8-902C-3FCF10ADD588}"/>
    <cellStyle name="Currency 4 3" xfId="628" xr:uid="{10FD5658-8088-4245-BE96-6EEF07549230}"/>
    <cellStyle name="Currency 4 4" xfId="629" xr:uid="{46624BEB-3346-4A9A-96BF-DA1EB1009824}"/>
    <cellStyle name="Currency 4 4 2" xfId="630" xr:uid="{4D65032F-591B-416E-B487-3FCB6EC5F17C}"/>
    <cellStyle name="Currency 4 4 2 2" xfId="2283" xr:uid="{60D2CEAA-B79F-4D99-9C5D-46A81E46B3B3}"/>
    <cellStyle name="Currency 4 4 3" xfId="2282" xr:uid="{5DC170C5-D493-489A-A033-23DD29BA83C0}"/>
    <cellStyle name="Currency 4 5" xfId="631" xr:uid="{827BDCD9-5230-4C89-9F80-5C016C2DEA74}"/>
    <cellStyle name="Currency 4 5 2" xfId="2284" xr:uid="{9C7E71C7-7DBD-4AC1-A779-7EFBDE989DDD}"/>
    <cellStyle name="Currency 4 6" xfId="2273" xr:uid="{47825E4B-681C-4667-AC6F-F073D2638A1E}"/>
    <cellStyle name="Currency 40" xfId="632" xr:uid="{6A140714-311F-49ED-AC08-3A81B17185C7}"/>
    <cellStyle name="Currency 40 2" xfId="633" xr:uid="{CA44586D-B79D-4A25-91AB-4DBEF5A557B3}"/>
    <cellStyle name="Currency 40 2 2" xfId="2286" xr:uid="{45CFBE43-702D-4676-854A-52F825F6F891}"/>
    <cellStyle name="Currency 40 3" xfId="2285" xr:uid="{7F067A08-54FA-472A-9E54-36D6A82A9042}"/>
    <cellStyle name="Currency 41" xfId="634" xr:uid="{F28F4A96-48D9-4B65-929E-E79FEEA67D35}"/>
    <cellStyle name="Currency 41 2" xfId="635" xr:uid="{07644D11-54D1-4D43-81DA-85B4C1828DD8}"/>
    <cellStyle name="Currency 41 2 2" xfId="2288" xr:uid="{366FC600-B978-4AA7-BBEE-06CED997E1C3}"/>
    <cellStyle name="Currency 41 3" xfId="2287" xr:uid="{715D4E24-098E-4A78-9C83-30314EFF9046}"/>
    <cellStyle name="Currency 42" xfId="636" xr:uid="{9374FB39-6DFF-4003-AB8B-A1DD1F9BD029}"/>
    <cellStyle name="Currency 42 2" xfId="637" xr:uid="{BA838992-5E32-47D1-A021-F6416CDE1266}"/>
    <cellStyle name="Currency 42 2 2" xfId="2290" xr:uid="{2A441401-CE00-446C-A02B-D92B78C0D5D4}"/>
    <cellStyle name="Currency 42 3" xfId="2289" xr:uid="{00635253-F945-44F8-B83A-CCCAEDB628EA}"/>
    <cellStyle name="Currency 43" xfId="638" xr:uid="{C0166B5B-8C27-42E8-9AFD-BB4A7A143C1D}"/>
    <cellStyle name="Currency 43 2" xfId="639" xr:uid="{0FDE6196-0017-4DF7-89C4-ED48425579F4}"/>
    <cellStyle name="Currency 43 2 2" xfId="2292" xr:uid="{8BC20C91-52A7-4B31-8657-614533DAB6B8}"/>
    <cellStyle name="Currency 43 3" xfId="2291" xr:uid="{1F2BD35F-C25D-45A4-AE8A-D086F1FA0456}"/>
    <cellStyle name="Currency 44" xfId="640" xr:uid="{0C813F15-F2D1-490E-BC93-EB5468C6D825}"/>
    <cellStyle name="Currency 44 2" xfId="641" xr:uid="{DD6DBD28-5137-4749-981D-849FD4FE363A}"/>
    <cellStyle name="Currency 44 2 2" xfId="2294" xr:uid="{5F8F087E-425F-4248-985A-3EFE0A183025}"/>
    <cellStyle name="Currency 44 3" xfId="2293" xr:uid="{AAF61527-1D52-424E-B58C-DB65814D4C27}"/>
    <cellStyle name="Currency 45" xfId="642" xr:uid="{FBF87624-0BF4-45A8-B603-9753AD32C812}"/>
    <cellStyle name="Currency 45 2" xfId="643" xr:uid="{7581160F-364E-451C-B69D-E54058FD8653}"/>
    <cellStyle name="Currency 45 2 2" xfId="2296" xr:uid="{3D050B88-B572-4EEC-A794-0600F17044F1}"/>
    <cellStyle name="Currency 45 3" xfId="2295" xr:uid="{84D855D7-53C4-42B8-B855-346A89E3F36B}"/>
    <cellStyle name="Currency 46" xfId="644" xr:uid="{16078CDD-912F-4DC5-B0D0-F62219CFCB13}"/>
    <cellStyle name="Currency 46 2" xfId="645" xr:uid="{4BDCD0D8-D0FE-423A-851C-F48B87CE5596}"/>
    <cellStyle name="Currency 46 2 2" xfId="2298" xr:uid="{6B9C1C89-6EC7-4160-88C6-C81EF49BCB4A}"/>
    <cellStyle name="Currency 46 3" xfId="2297" xr:uid="{9E8A212C-4AA1-472E-A5E0-3DFA2B8DD644}"/>
    <cellStyle name="Currency 47" xfId="646" xr:uid="{6BA0CFD8-6D86-43B1-97B3-14D9A9AF19A0}"/>
    <cellStyle name="Currency 47 2" xfId="647" xr:uid="{E7F64766-B203-47C1-A16B-43ACC996EC06}"/>
    <cellStyle name="Currency 47 2 2" xfId="2300" xr:uid="{B9577382-9633-4F9A-A916-F7FA80D02233}"/>
    <cellStyle name="Currency 47 3" xfId="2299" xr:uid="{F8C6A65B-6BFE-4E82-90DF-8D64CCFCD814}"/>
    <cellStyle name="Currency 48" xfId="648" xr:uid="{14055E7D-A890-46A9-B398-B94FD50B78E3}"/>
    <cellStyle name="Currency 48 2" xfId="649" xr:uid="{6879B36F-D1DD-49ED-8A21-38C6C6F166F6}"/>
    <cellStyle name="Currency 48 2 2" xfId="2302" xr:uid="{6D79A263-74F6-4D98-A0C0-F14B05CECF34}"/>
    <cellStyle name="Currency 48 3" xfId="2301" xr:uid="{F4B6E96D-749B-4184-A286-7B515C069817}"/>
    <cellStyle name="Currency 49" xfId="650" xr:uid="{7849E9F4-3809-41CF-86F0-E7CD6E4E8E02}"/>
    <cellStyle name="Currency 49 2" xfId="651" xr:uid="{D98D2BA2-DEAE-47F0-999A-62EF0A9AA520}"/>
    <cellStyle name="Currency 49 2 2" xfId="2304" xr:uid="{6CE07970-1FD3-4FDD-8CAE-5E4870ACD06F}"/>
    <cellStyle name="Currency 49 3" xfId="2303" xr:uid="{2858D8DF-479F-44F8-A28E-B0B07FE8FFC6}"/>
    <cellStyle name="Currency 5" xfId="652" xr:uid="{BF88720D-3D65-4968-AB34-A2DAFD3FA985}"/>
    <cellStyle name="Currency 5 2" xfId="653" xr:uid="{E02F5F0B-46ED-46E1-9ED6-92CB8432C6C8}"/>
    <cellStyle name="Currency 5 2 2" xfId="654" xr:uid="{642470C5-FFBD-4F1D-B9FD-3E9D13A681FF}"/>
    <cellStyle name="Currency 5 2 3" xfId="655" xr:uid="{4B5F1070-AA39-42D0-B7FE-8F413713519B}"/>
    <cellStyle name="Currency 5 2 4" xfId="656" xr:uid="{15E21A55-4107-47A0-AD26-48AA89062C5D}"/>
    <cellStyle name="Currency 5 2 4 2" xfId="2306" xr:uid="{F8F64906-5E60-4DA2-B90B-1AF422ECD6B5}"/>
    <cellStyle name="Currency 5 2 5" xfId="2305" xr:uid="{671948A0-0490-4B54-A91C-06DB4ECA6DB9}"/>
    <cellStyle name="Currency 5 3" xfId="657" xr:uid="{18F22F4B-DBE8-43BA-B98F-E8306AD3EDAB}"/>
    <cellStyle name="Currency 5 3 2" xfId="658" xr:uid="{412C4ED1-68EB-438F-93BD-4526019F9966}"/>
    <cellStyle name="Currency 5 3 2 2" xfId="2308" xr:uid="{4105EB92-0772-457A-9BA1-F3B17151F6B9}"/>
    <cellStyle name="Currency 5 3 3" xfId="2307" xr:uid="{7BC54169-C55C-4196-AF1B-0847A514CA46}"/>
    <cellStyle name="Currency 50" xfId="659" xr:uid="{B9D409E1-8C0F-429F-9861-5D73286C05CE}"/>
    <cellStyle name="Currency 50 2" xfId="660" xr:uid="{6F71F8B2-98B5-46BA-B8B9-8E22EF1FF0AE}"/>
    <cellStyle name="Currency 50 2 2" xfId="2310" xr:uid="{70D3DD15-FFF2-416C-B5DF-26C763B1F1B8}"/>
    <cellStyle name="Currency 50 3" xfId="2309" xr:uid="{EAC296A1-1016-44E7-BEFB-8A73DFA7095D}"/>
    <cellStyle name="Currency 51" xfId="661" xr:uid="{C9428E33-18EC-4034-AE80-E522A3736F65}"/>
    <cellStyle name="Currency 51 2" xfId="662" xr:uid="{2E77D2CC-BF7E-477A-A51F-0EB92F709A81}"/>
    <cellStyle name="Currency 51 2 2" xfId="2312" xr:uid="{CD9D0C95-C1E1-4CD6-891A-D248DC5E4DB7}"/>
    <cellStyle name="Currency 51 3" xfId="2311" xr:uid="{BE1B65BC-BC4F-4F9B-8AF7-A37CCB0EF906}"/>
    <cellStyle name="Currency 52" xfId="663" xr:uid="{20493625-05E2-4DB0-A098-F6939250870D}"/>
    <cellStyle name="Currency 52 2" xfId="664" xr:uid="{578E3364-A553-4850-A1B4-7EF14BB71203}"/>
    <cellStyle name="Currency 52 2 2" xfId="2314" xr:uid="{33584E9D-C2B9-410E-8E6F-5AAB0881BEA3}"/>
    <cellStyle name="Currency 52 3" xfId="2313" xr:uid="{D537F982-B950-4CED-87AD-1A4B4A84CC0D}"/>
    <cellStyle name="Currency 53" xfId="665" xr:uid="{8B67E23E-B6E5-47E8-B655-497D6DD05ABF}"/>
    <cellStyle name="Currency 53 2" xfId="666" xr:uid="{F0C99F6A-CD3F-41CA-BEAC-6750C61B4FE7}"/>
    <cellStyle name="Currency 53 2 2" xfId="2316" xr:uid="{726C0B52-FC26-48DF-96F9-BB29505D7ADA}"/>
    <cellStyle name="Currency 53 3" xfId="2315" xr:uid="{13DEAD87-BDED-437A-AA4C-D1294C616A82}"/>
    <cellStyle name="Currency 54" xfId="667" xr:uid="{04252FF6-81F0-49EF-9D8E-BCF83500E1C8}"/>
    <cellStyle name="Currency 54 2" xfId="668" xr:uid="{0F1B9BE0-67D9-4B25-AE5F-0DFFA7DCB5BE}"/>
    <cellStyle name="Currency 54 2 2" xfId="2318" xr:uid="{C3E3A234-7F17-4B6E-90E6-98169C8D1002}"/>
    <cellStyle name="Currency 54 3" xfId="2317" xr:uid="{F2CD7755-0B82-4E50-A813-E1DB2331403B}"/>
    <cellStyle name="Currency 55" xfId="669" xr:uid="{B9768CA9-D3AA-4D76-8D9A-D3F0FF180655}"/>
    <cellStyle name="Currency 55 2" xfId="670" xr:uid="{82CBF86C-FB01-43B6-ABC9-BB6842E2D6FE}"/>
    <cellStyle name="Currency 55 2 2" xfId="2320" xr:uid="{A4D9CB0B-DAE5-4E21-8B9A-15A90828D222}"/>
    <cellStyle name="Currency 55 3" xfId="2319" xr:uid="{F4042C73-2AB9-4D8F-9018-54BD203D76BE}"/>
    <cellStyle name="Currency 56" xfId="671" xr:uid="{1CC86376-789D-4BD0-A0EE-C82373B5EAD0}"/>
    <cellStyle name="Currency 56 2" xfId="672" xr:uid="{26B7072C-EC6F-416F-8A9A-62C8FA39CBE4}"/>
    <cellStyle name="Currency 56 2 2" xfId="2322" xr:uid="{B65E168C-EE58-4381-AAAA-F8A33B699ADE}"/>
    <cellStyle name="Currency 56 3" xfId="2321" xr:uid="{1AAB4CA2-332C-4121-931C-65B42A47F7D3}"/>
    <cellStyle name="Currency 57" xfId="673" xr:uid="{1D29C784-F509-4A25-8E54-92873CA6E3CD}"/>
    <cellStyle name="Currency 57 2" xfId="674" xr:uid="{E82B9CF5-B18A-4D05-9874-5DADB0171BE4}"/>
    <cellStyle name="Currency 57 2 2" xfId="2324" xr:uid="{EF7BE4E5-0A51-41BA-9144-2A6DF0A23122}"/>
    <cellStyle name="Currency 57 3" xfId="2323" xr:uid="{9B98981E-E7CE-4094-B8A5-E90C7AADFF0B}"/>
    <cellStyle name="Currency 58" xfId="675" xr:uid="{3012E370-6034-4B0A-AADB-D7A0FA6E707D}"/>
    <cellStyle name="Currency 58 2" xfId="676" xr:uid="{0A8F0F9A-92F0-42B7-889F-99E5F74DD561}"/>
    <cellStyle name="Currency 58 2 2" xfId="2326" xr:uid="{8FD32040-8D2C-450D-BFD5-A41D6558CE1D}"/>
    <cellStyle name="Currency 58 3" xfId="2325" xr:uid="{A8492790-F751-4C37-A3B9-82F1983B4F0A}"/>
    <cellStyle name="Currency 59" xfId="677" xr:uid="{5FA8CA87-FD7C-4497-8F50-9BBEEB02B39F}"/>
    <cellStyle name="Currency 59 2" xfId="678" xr:uid="{F0D2B191-8EAA-46FA-93F1-400051F26AFE}"/>
    <cellStyle name="Currency 59 2 2" xfId="2328" xr:uid="{B1139795-F935-436F-89EB-B313327D85B3}"/>
    <cellStyle name="Currency 59 3" xfId="2327" xr:uid="{BA5D452E-1D0D-41CA-9CEB-5607D054C376}"/>
    <cellStyle name="Currency 6" xfId="679" xr:uid="{E220418C-A83E-4A6D-9CFF-961CD96869AC}"/>
    <cellStyle name="Currency 6 2" xfId="680" xr:uid="{DED45DDA-0520-4CBA-B536-39A9D679CADE}"/>
    <cellStyle name="Currency 60" xfId="681" xr:uid="{5B1ABC0C-85C4-4166-91EA-CAFFFC2AD517}"/>
    <cellStyle name="Currency 60 2" xfId="682" xr:uid="{EA79CB1F-710A-40A9-8BF7-95853CECFD54}"/>
    <cellStyle name="Currency 60 2 2" xfId="2330" xr:uid="{A76ED625-BC6E-4E63-8984-C35368C94B71}"/>
    <cellStyle name="Currency 60 3" xfId="2329" xr:uid="{26B26925-EAD9-4ED3-9A37-96F449C93A02}"/>
    <cellStyle name="Currency 61" xfId="683" xr:uid="{2BC92FDD-42E1-47DB-8EAC-D48EF21F9190}"/>
    <cellStyle name="Currency 61 2" xfId="684" xr:uid="{DFC1ADBE-DF91-4837-882A-B6B8253A9223}"/>
    <cellStyle name="Currency 61 2 2" xfId="2332" xr:uid="{82A49444-60A9-4C48-B452-D61416EB2F7D}"/>
    <cellStyle name="Currency 61 3" xfId="2331" xr:uid="{3367F393-3A73-4E81-8403-A749904DC975}"/>
    <cellStyle name="Currency 62" xfId="685" xr:uid="{9D18121A-D326-4585-AC3F-2AF1D20C60B1}"/>
    <cellStyle name="Currency 62 2" xfId="686" xr:uid="{7964F2BB-EF2F-4D6F-9486-22332E093F33}"/>
    <cellStyle name="Currency 62 2 2" xfId="2334" xr:uid="{8B2D2F89-226E-4629-9039-CBE01E4EBE48}"/>
    <cellStyle name="Currency 62 3" xfId="2333" xr:uid="{68BB1194-7D05-45DA-8109-6770103E9EC0}"/>
    <cellStyle name="Currency 63" xfId="687" xr:uid="{E847BB9B-03CB-447F-91CB-D998742F7B08}"/>
    <cellStyle name="Currency 64" xfId="688" xr:uid="{7C61C79C-C127-4ABE-A83B-C65CF9934D7C}"/>
    <cellStyle name="Currency 65" xfId="689" xr:uid="{05E5BCDA-F514-49FF-83F2-5EDE4301DD24}"/>
    <cellStyle name="Currency 66" xfId="690" xr:uid="{C1AF7697-704D-4C92-AC51-1CC6F9132E0F}"/>
    <cellStyle name="Currency 67" xfId="691" xr:uid="{1F15D179-620D-4989-949D-8A06F51786AB}"/>
    <cellStyle name="Currency 68" xfId="692" xr:uid="{5066A9E6-07BA-4AD3-AC97-3DD32340B95E}"/>
    <cellStyle name="Currency 68 2" xfId="2335" xr:uid="{9BC5449B-E7AF-4108-8070-82215414E87B}"/>
    <cellStyle name="Currency 68 3" xfId="2830" xr:uid="{DC8055A5-1227-4B19-A4B5-0455E53FB6F6}"/>
    <cellStyle name="Currency 69" xfId="693" xr:uid="{7898C8BD-F177-4B3E-91FA-E952380A04EA}"/>
    <cellStyle name="Currency 69 2" xfId="2336" xr:uid="{DDD40AC9-5116-4A7D-A393-06EFD71BAB5F}"/>
    <cellStyle name="Currency 69 3" xfId="2831" xr:uid="{58064BB3-16B9-4FE8-B766-9D3CDE9C80F7}"/>
    <cellStyle name="Currency 7" xfId="694" xr:uid="{330B2847-8700-4D1D-9DE4-AE81B22622EC}"/>
    <cellStyle name="Currency 7 2" xfId="695" xr:uid="{341EC53A-E4AF-466C-AF2D-AD5DFEAF7411}"/>
    <cellStyle name="Currency 7 2 2" xfId="696" xr:uid="{AFB39FB8-44C3-452D-822A-1DF5E1865B14}"/>
    <cellStyle name="Currency 7 2 2 2" xfId="2338" xr:uid="{A9063314-644F-49DD-A7B7-F6401312344D}"/>
    <cellStyle name="Currency 7 2 3" xfId="2337" xr:uid="{2B17354F-0E01-4A23-BF11-5BFD55A92863}"/>
    <cellStyle name="Currency 70" xfId="697" xr:uid="{347F307F-D008-400F-B5A6-6B9F6FC019A3}"/>
    <cellStyle name="Currency 70 2" xfId="2339" xr:uid="{6DC63DC5-410E-4C35-9BAD-4439D85923EC}"/>
    <cellStyle name="Currency 70 3" xfId="2832" xr:uid="{68E8B8D0-DB27-4BE6-9051-0C060FB5FD78}"/>
    <cellStyle name="Currency 71" xfId="698" xr:uid="{61ACB51C-0CC1-4CDC-908D-74DC3C97535A}"/>
    <cellStyle name="Currency 71 2" xfId="2340" xr:uid="{52C35C5F-8F1F-4E46-867E-D391B4C33AF5}"/>
    <cellStyle name="Currency 71 3" xfId="2833" xr:uid="{3457AA85-0FA4-42B3-BE92-9F6A3DC6276D}"/>
    <cellStyle name="Currency 72" xfId="699" xr:uid="{A70B02E1-9E6F-484F-A400-43B02EE4FD63}"/>
    <cellStyle name="Currency 72 2" xfId="2341" xr:uid="{A2FB41B3-E88C-4AD4-B0F9-2C1BC23330D4}"/>
    <cellStyle name="Currency 72 3" xfId="2834" xr:uid="{F01C6AEB-B6DB-423E-B3D7-6A9E9031423C}"/>
    <cellStyle name="Currency 73" xfId="700" xr:uid="{D8ACD7E2-E705-41B0-82DA-9DC13A43B2E9}"/>
    <cellStyle name="Currency 73 2" xfId="2342" xr:uid="{EC7AB21C-6EB5-4627-8371-3C09613A22DA}"/>
    <cellStyle name="Currency 73 3" xfId="2835" xr:uid="{28BE7BE6-3569-45AB-A92D-DAC4D61EEE0E}"/>
    <cellStyle name="Currency 74" xfId="701" xr:uid="{18642986-8A68-40CE-B1DE-EC25F35A1F5A}"/>
    <cellStyle name="Currency 74 2" xfId="2343" xr:uid="{FF91A416-2979-4EE1-B172-B181DD733D83}"/>
    <cellStyle name="Currency 74 3" xfId="2836" xr:uid="{5BB22E68-6274-4C23-BCE3-AE2F7FF58B70}"/>
    <cellStyle name="Currency 75" xfId="702" xr:uid="{AB05973D-44EB-49CE-9382-54A41B79EBB4}"/>
    <cellStyle name="Currency 75 2" xfId="2344" xr:uid="{142CD2BB-04EB-4708-B8DF-BDF32B8F34AA}"/>
    <cellStyle name="Currency 75 3" xfId="2837" xr:uid="{4636F968-518D-45B2-9D1F-772D4737FC55}"/>
    <cellStyle name="Currency 76" xfId="703" xr:uid="{A588064B-8ADE-470B-A90E-BA1ED96EA57C}"/>
    <cellStyle name="Currency 76 2" xfId="2345" xr:uid="{C853966F-7BA2-4EBB-8933-614AEF69269E}"/>
    <cellStyle name="Currency 76 3" xfId="2838" xr:uid="{E5D92ABE-C113-4167-A018-8A47248A2257}"/>
    <cellStyle name="Currency 77" xfId="704" xr:uid="{BADE0736-EF88-4BAC-BEE4-C8D470300980}"/>
    <cellStyle name="Currency 77 2" xfId="2346" xr:uid="{6D2B680F-B751-421B-9C53-E1C75006C1D7}"/>
    <cellStyle name="Currency 77 3" xfId="2839" xr:uid="{F00F9CFD-78F0-46B8-BB5E-01F780674A88}"/>
    <cellStyle name="Currency 78" xfId="705" xr:uid="{04B4DC5E-1C4C-4BCE-AF31-C32BCEE53B8F}"/>
    <cellStyle name="Currency 78 2" xfId="2347" xr:uid="{392EB0FE-1822-43D4-BD67-30A9632B6196}"/>
    <cellStyle name="Currency 78 3" xfId="2840" xr:uid="{E1DF8CBD-363E-45EF-BD45-D15DCF19CCA0}"/>
    <cellStyle name="Currency 79" xfId="706" xr:uid="{D567984C-8073-4F4B-A1A1-DD5EEA05333A}"/>
    <cellStyle name="Currency 79 2" xfId="2348" xr:uid="{45169B6B-FDFD-486B-92B9-0C0DCEDBE8E4}"/>
    <cellStyle name="Currency 79 3" xfId="2841" xr:uid="{FCAE17E5-E15B-4F7C-8021-D5F9A45CB1FD}"/>
    <cellStyle name="Currency 8" xfId="707" xr:uid="{E4985EC6-6059-4B6B-A600-0DE9CBF23A45}"/>
    <cellStyle name="Currency 8 2" xfId="2349" xr:uid="{D990344E-CD32-4927-B3E6-50F051E42C94}"/>
    <cellStyle name="Currency 8 3" xfId="2842" xr:uid="{7FAFEDB4-5CF9-4748-A836-A71569CB9586}"/>
    <cellStyle name="Currency 80" xfId="708" xr:uid="{DACA5C28-828B-4B7B-8EDB-6C6B05EB707D}"/>
    <cellStyle name="Currency 80 2" xfId="2350" xr:uid="{2B95B620-DABA-4C4E-8FB7-66B8277ADC27}"/>
    <cellStyle name="Currency 80 3" xfId="2843" xr:uid="{4717CCD7-661B-446E-A4D8-F376A9AC74AE}"/>
    <cellStyle name="Currency 81" xfId="709" xr:uid="{FCBE41AB-1FAD-48AB-91EC-D34DEC248DE8}"/>
    <cellStyle name="Currency 81 2" xfId="2351" xr:uid="{82C14BC2-1B6E-4C10-A150-8C94DD5F6615}"/>
    <cellStyle name="Currency 81 3" xfId="2844" xr:uid="{CCB6B0DB-0D0C-49E3-BC7B-5D94972B6045}"/>
    <cellStyle name="Currency 82" xfId="710" xr:uid="{424320E9-F4FC-458D-AF97-EB61B0BBFC75}"/>
    <cellStyle name="Currency 82 2" xfId="2352" xr:uid="{48820893-D9B1-4705-8D04-A650ED1EA855}"/>
    <cellStyle name="Currency 82 3" xfId="2845" xr:uid="{9AADF2F0-44B9-42EC-9E14-44E6DC678528}"/>
    <cellStyle name="Currency 83" xfId="711" xr:uid="{C53C43CE-12C3-4DF5-8042-C4BC9B4AE702}"/>
    <cellStyle name="Currency 83 2" xfId="2353" xr:uid="{B82EC285-3BDC-48A7-996A-9978A51F0C6D}"/>
    <cellStyle name="Currency 83 3" xfId="2846" xr:uid="{EDBE6215-C523-4B66-A785-8BA248619540}"/>
    <cellStyle name="Currency 84" xfId="712" xr:uid="{68974622-2231-4290-AC65-E1B74034E3B9}"/>
    <cellStyle name="Currency 84 2" xfId="2354" xr:uid="{208EB7CE-1CB7-442B-8270-5BC6D8962B1F}"/>
    <cellStyle name="Currency 84 3" xfId="2847" xr:uid="{8EE67813-F135-4963-95C4-50D6886385E5}"/>
    <cellStyle name="Currency 85" xfId="713" xr:uid="{CECEB8EA-D12C-4533-9F07-91EE846654AE}"/>
    <cellStyle name="Currency 85 2" xfId="2355" xr:uid="{C97CBDD9-2F78-4384-9B45-2737DF3A2D52}"/>
    <cellStyle name="Currency 85 3" xfId="2848" xr:uid="{529224D9-0683-4F26-8F0B-ABDC37395753}"/>
    <cellStyle name="Currency 86" xfId="714" xr:uid="{104C601D-64A7-4305-99B8-3545EF5020A0}"/>
    <cellStyle name="Currency 86 2" xfId="2356" xr:uid="{EAE878BF-4E55-440D-8D3E-1D385350F098}"/>
    <cellStyle name="Currency 86 3" xfId="2849" xr:uid="{623D7E9A-F9E6-4868-BBD3-4053E4F74685}"/>
    <cellStyle name="Currency 87" xfId="715" xr:uid="{4C332F45-AE74-4A25-9F0B-896EF86E87D4}"/>
    <cellStyle name="Currency 87 2" xfId="2357" xr:uid="{B880BE34-7348-478F-8206-B75752A54B24}"/>
    <cellStyle name="Currency 87 3" xfId="2850" xr:uid="{0587E182-FA19-4653-B2FB-10A9F24E905B}"/>
    <cellStyle name="Currency 88" xfId="716" xr:uid="{423AE9DA-5F60-44AF-84B7-58EE7744FA73}"/>
    <cellStyle name="Currency 88 2" xfId="2358" xr:uid="{C81AA036-83CD-4BCB-92AC-62E13C61FC4C}"/>
    <cellStyle name="Currency 88 3" xfId="2851" xr:uid="{DCD9F5C2-A497-41F4-8182-59FED3AD370A}"/>
    <cellStyle name="Currency 89" xfId="717" xr:uid="{18B87EE8-195E-4990-B43C-0FA2F94F87B8}"/>
    <cellStyle name="Currency 89 2" xfId="2359" xr:uid="{9EEF05B2-5ED3-4B0E-A0CA-8C018CFF5BA5}"/>
    <cellStyle name="Currency 89 3" xfId="2852" xr:uid="{C8768DC0-DEE4-46B6-BA94-06831D87AADF}"/>
    <cellStyle name="Currency 9" xfId="718" xr:uid="{D4347CFB-EC83-4C95-B847-86690B04B3A0}"/>
    <cellStyle name="Currency 9 2" xfId="2360" xr:uid="{A3157631-85DE-47CF-BA19-2A1D579A8720}"/>
    <cellStyle name="Currency 9 3" xfId="2853" xr:uid="{253EBB88-627E-40B9-936F-D8A9249E8BFE}"/>
    <cellStyle name="Currency 90" xfId="719" xr:uid="{ADF31AD0-8A46-4B4B-8AC5-4ECA65F8B3B6}"/>
    <cellStyle name="Currency 90 2" xfId="2361" xr:uid="{51042E28-4AC1-4C25-88A2-F7C6908785B2}"/>
    <cellStyle name="Currency 90 3" xfId="2854" xr:uid="{5832920E-A253-4FB5-B7CC-9D747432C605}"/>
    <cellStyle name="Currency 91" xfId="720" xr:uid="{855F945B-0399-4970-8A65-9972440826C3}"/>
    <cellStyle name="Currency 91 2" xfId="2362" xr:uid="{8B88A427-0B57-4C71-853B-58C678771413}"/>
    <cellStyle name="Currency 91 3" xfId="2855" xr:uid="{B972BC32-A035-47AE-9E8C-85DF64635EE6}"/>
    <cellStyle name="Currency 92" xfId="721" xr:uid="{F9C3465D-DA91-4BA1-92DB-E87313702CAA}"/>
    <cellStyle name="Currency 92 2" xfId="2363" xr:uid="{5CDAEDC5-B771-42C3-B044-D10598BE959D}"/>
    <cellStyle name="Currency 92 3" xfId="2856" xr:uid="{56EB9981-5F27-489E-8C10-86135F611744}"/>
    <cellStyle name="Currency 93" xfId="722" xr:uid="{5B9877D9-3CB8-4D33-8963-72379BC712FF}"/>
    <cellStyle name="Currency 93 2" xfId="2364" xr:uid="{66C02B63-EFC6-4AF7-8920-5353F4C8756B}"/>
    <cellStyle name="Currency 93 3" xfId="2857" xr:uid="{C84C159B-ABBF-4088-9E98-EF09A31B843B}"/>
    <cellStyle name="Currency 94" xfId="723" xr:uid="{55D4F8D3-3362-4B2E-A159-686562A1E3CA}"/>
    <cellStyle name="Currency 94 2" xfId="2365" xr:uid="{B878E407-22C0-4F64-9F1E-0000A1368F8A}"/>
    <cellStyle name="Currency 94 3" xfId="2858" xr:uid="{4A73DF73-8994-48AF-BA20-2F298C382842}"/>
    <cellStyle name="Currency 95" xfId="724" xr:uid="{F75C56FE-AF89-4F1A-9943-B3811D25444B}"/>
    <cellStyle name="Currency 95 2" xfId="2366" xr:uid="{B6509A56-30BC-4A47-BDB7-9274E451192F}"/>
    <cellStyle name="Currency 95 3" xfId="2859" xr:uid="{1D3C3094-7843-4079-9F8E-5BE9E14DA5DA}"/>
    <cellStyle name="Currency 96" xfId="725" xr:uid="{27377FE0-C889-45E3-B591-3D0DCCE6D2E1}"/>
    <cellStyle name="Currency 96 2" xfId="2367" xr:uid="{2BE1AED2-D148-4B00-9D22-9540D6E30D62}"/>
    <cellStyle name="Currency 96 3" xfId="2860" xr:uid="{FCE1C8FB-549D-49FD-98F3-EEBBDDAD19BE}"/>
    <cellStyle name="Currency 97" xfId="726" xr:uid="{32ECF7D6-21D9-432C-B69F-194DA32BBE1C}"/>
    <cellStyle name="Currency 97 2" xfId="2368" xr:uid="{3591BAE3-E95E-41A4-86F1-52B5568BB885}"/>
    <cellStyle name="Currency 97 3" xfId="2861" xr:uid="{9051D012-FB3D-4E1C-AA5B-574F52FFEC94}"/>
    <cellStyle name="Currency 98" xfId="727" xr:uid="{81437FCC-D021-4026-992D-2D178F8E0C65}"/>
    <cellStyle name="Currency 98 2" xfId="2369" xr:uid="{9F8D679E-4B1F-42BB-A4E1-AD98EF21BF51}"/>
    <cellStyle name="Currency 98 3" xfId="2862" xr:uid="{88E69309-8E88-4074-A634-E26AC199911C}"/>
    <cellStyle name="Currency 99" xfId="728" xr:uid="{A677EA5D-1516-4C22-9C7D-1C0CA02D0EB3}"/>
    <cellStyle name="Currency 99 2" xfId="2370" xr:uid="{FADED5EB-A679-4743-9F6F-AC47FF32604E}"/>
    <cellStyle name="Currency 99 3" xfId="2863" xr:uid="{2D106423-C859-4191-921A-03B65951B1F7}"/>
    <cellStyle name="Entered" xfId="729" xr:uid="{31E7ACFE-39ED-4172-A3FE-CE1113BD708A}"/>
    <cellStyle name="Excel Built-in Normal" xfId="730" xr:uid="{9036152C-318C-48FD-AB24-DE7B64207FBE}"/>
    <cellStyle name="Excel Built-in Normal 1" xfId="731" xr:uid="{B1376F53-1174-4504-84A5-06FD084AC66B}"/>
    <cellStyle name="Excel Built-in Normal 1 2" xfId="2371" xr:uid="{2C37C540-8A90-4A53-A17B-B3029F86985E}"/>
    <cellStyle name="Excel Built-in Normal 2" xfId="2864" xr:uid="{402D6F34-1D1B-4892-BE87-4E4EB9EC52F0}"/>
    <cellStyle name="Excel Built-in Normal 2 2" xfId="3074" xr:uid="{BF2C6B26-3DC9-4229-9700-84E95D5714E5}"/>
    <cellStyle name="Excel Built-in Normal 3" xfId="3060" xr:uid="{DDB3C472-66FE-43E1-9778-FB6CC9BCB727}"/>
    <cellStyle name="Explanatory Text 2" xfId="732" xr:uid="{A040AF2C-C2F0-41B8-8B09-F87440AB54CA}"/>
    <cellStyle name="Explanatory Text 3" xfId="733" xr:uid="{9493FC44-481F-4032-98CE-4B0FFC5B128C}"/>
    <cellStyle name="Followed Hyperlink 2" xfId="734" xr:uid="{1AF2E365-8412-45A9-BF42-090691AAC13B}"/>
    <cellStyle name="Followed Hyperlink 2 2" xfId="735" xr:uid="{F8B98CA3-A71C-44C3-A412-73006175076B}"/>
    <cellStyle name="Followed Hyperlink 2 3" xfId="736" xr:uid="{5B57BC05-C6A1-44D4-99EB-E06257EC5C89}"/>
    <cellStyle name="Followed Hyperlink 3" xfId="737" xr:uid="{F27AB2F5-A7F4-4594-BDAB-D7B80055B6F2}"/>
    <cellStyle name="Good 2" xfId="738" xr:uid="{2D660DBC-8DAB-45A6-AAEE-4FFAEEB487FA}"/>
    <cellStyle name="Good 3" xfId="739" xr:uid="{DB43487C-E22B-4F26-9803-A64DF5F3F4AD}"/>
    <cellStyle name="Grey" xfId="740" xr:uid="{2F52C97C-3AC8-4906-9BFC-3962032E3B19}"/>
    <cellStyle name="Header1" xfId="741" xr:uid="{F15540CE-EB77-4AA2-9719-6BCD2C25BBEC}"/>
    <cellStyle name="Header2" xfId="742" xr:uid="{1D110958-DBA2-433C-9442-0D2CC4277CB7}"/>
    <cellStyle name="Header2 2" xfId="2997" xr:uid="{2B9D8A21-C6C1-42CA-AAAB-D775F11D3DEF}"/>
    <cellStyle name="Header2 2 2" xfId="3024" xr:uid="{07E90F6C-D57E-4E28-A651-773ECA839F4B}"/>
    <cellStyle name="Header2 3" xfId="3017" xr:uid="{4F0BE849-0492-45E0-A632-87AACBCDFCC6}"/>
    <cellStyle name="Header2 3 2" xfId="3031" xr:uid="{48BDD48E-EF60-4BBD-B16F-2C005091F14B}"/>
    <cellStyle name="Header2 4" xfId="2865" xr:uid="{9DBA5234-103B-4D32-92E0-A81C17310420}"/>
    <cellStyle name="Header2 4 2" xfId="3020" xr:uid="{40644D73-9EF7-4384-B260-AFD7EA8F6AA1}"/>
    <cellStyle name="Header2 5" xfId="3018" xr:uid="{75BF607B-A708-429A-B03C-BF1CF36FB95B}"/>
    <cellStyle name="Heading 1 2" xfId="743" xr:uid="{E5C18FAA-887B-4325-9E17-C9C02D7FEB77}"/>
    <cellStyle name="Heading 1 3" xfId="744" xr:uid="{D40B870B-7775-445A-A439-FAFAB6FF0283}"/>
    <cellStyle name="Heading 2 2" xfId="745" xr:uid="{E9493667-E6D0-443A-A38E-0FA5EC5722E0}"/>
    <cellStyle name="Heading 2 3" xfId="746" xr:uid="{8F559700-B500-4184-ACA5-4A5D7F70D10B}"/>
    <cellStyle name="Heading 3 2" xfId="747" xr:uid="{964DA8AC-DEFD-4C3B-A1D6-D64A08777419}"/>
    <cellStyle name="Heading 3 3" xfId="748" xr:uid="{A7B79D60-1958-4167-92AA-37ADF794EA71}"/>
    <cellStyle name="Heading 4 2" xfId="749" xr:uid="{71C01A83-8B5A-457C-9DA8-0E7BAA65842F}"/>
    <cellStyle name="Heading 4 3" xfId="750" xr:uid="{59558468-C9A6-47E4-91DC-9A546D3605BB}"/>
    <cellStyle name="HEADINGS" xfId="751" xr:uid="{04EF9DE1-0B51-49BE-A072-1435108CFCF5}"/>
    <cellStyle name="HEADINGSTOP" xfId="752" xr:uid="{BA193701-BACD-4492-A0A4-766D9E715D05}"/>
    <cellStyle name="Hyperlink 2" xfId="753" xr:uid="{9B11B855-4682-4D2A-9161-CFCDE370F1A2}"/>
    <cellStyle name="Hyperlink 2 2" xfId="754" xr:uid="{FC57E8CE-9FE5-4261-8F84-0415B4F8E000}"/>
    <cellStyle name="Hyperlink 2 3" xfId="755" xr:uid="{016C02E8-CFE1-4C15-BF56-243C4F0BAA4E}"/>
    <cellStyle name="Hyperlink 3" xfId="756" xr:uid="{112265E6-78C4-405D-87D1-5C855C6ECBE4}"/>
    <cellStyle name="Hyperlink 4" xfId="757" xr:uid="{26CBD362-666B-4203-B4A3-2D0B2908FD2E}"/>
    <cellStyle name="Hyperlink 5" xfId="758" xr:uid="{85CCD066-6FB5-486E-89ED-AF53E51251C5}"/>
    <cellStyle name="Input [yellow]" xfId="759" xr:uid="{520EAFA8-68BD-4978-8E8C-27162B277093}"/>
    <cellStyle name="Input [yellow] 2" xfId="2998" xr:uid="{497F33C7-5505-4CAC-A37D-3D22B9736DCC}"/>
    <cellStyle name="Input [yellow] 3" xfId="2866" xr:uid="{55CE3026-DDBB-4161-A3F8-987C151DEB79}"/>
    <cellStyle name="Input 2" xfId="760" xr:uid="{79FB0B52-0B97-4EF8-BB1E-7A95650C351A}"/>
    <cellStyle name="Input 2 2" xfId="2999" xr:uid="{097BFD85-1202-43F8-B5F4-360304E93263}"/>
    <cellStyle name="Input 2 3" xfId="2996" xr:uid="{70731DDE-DD21-45A0-B033-8A82D52E8FEF}"/>
    <cellStyle name="Input 2 4" xfId="2867" xr:uid="{FC8143CC-1664-461F-8941-1A4143D3B312}"/>
    <cellStyle name="Input 3" xfId="761" xr:uid="{121DB291-BAB0-476C-A445-72AB9906E5F5}"/>
    <cellStyle name="Input 3 2" xfId="3000" xr:uid="{C8D94040-E295-40AD-8F90-9DEECF479276}"/>
    <cellStyle name="Input 3 3" xfId="2995" xr:uid="{479C211B-9D59-4CD1-868F-242A83EDF5BA}"/>
    <cellStyle name="Input 3 4" xfId="2868" xr:uid="{31431AB3-860C-4879-83FA-DD487774CE46}"/>
    <cellStyle name="Linked Cell 2" xfId="762" xr:uid="{1AD4E021-F58F-48F6-9F51-45FE3E99686C}"/>
    <cellStyle name="Linked Cell 3" xfId="763" xr:uid="{5D13FCA8-D82E-491B-8B1D-B9369602F1DE}"/>
    <cellStyle name="Neutral 2" xfId="764" xr:uid="{38E64730-8C41-4602-99E8-7E27531AC749}"/>
    <cellStyle name="Neutral 2 2" xfId="765" xr:uid="{E09D70FC-2070-49A8-8C54-DE9FCFE7402A}"/>
    <cellStyle name="Neutral 2 3" xfId="766" xr:uid="{E652E464-5995-466F-B81F-BAD090D68CB8}"/>
    <cellStyle name="Neutral 2 3 2" xfId="2986" xr:uid="{CBDAD442-D283-4DCF-A31E-591A1B158985}"/>
    <cellStyle name="Neutral 2 4" xfId="2869" xr:uid="{F8006CFC-EF8A-4D39-9AFC-65D6DDD5F769}"/>
    <cellStyle name="Neutral 3" xfId="767" xr:uid="{DCE55027-0A77-4597-838A-B1AB590549DE}"/>
    <cellStyle name="Normal" xfId="0" builtinId="0"/>
    <cellStyle name="Normal - Style1" xfId="768" xr:uid="{B21CC3D9-4B24-4304-9EDC-F367C62DCC7F}"/>
    <cellStyle name="Normal 10" xfId="769" xr:uid="{DBEBC28F-FD6C-41CE-AE4C-9776A0D48DE3}"/>
    <cellStyle name="Normal 10 2" xfId="770" xr:uid="{4D1C1BBA-28BF-43F3-AA65-2894226C60B3}"/>
    <cellStyle name="Normal 10 3" xfId="771" xr:uid="{64968ED2-A13D-45DD-B0EB-6570B01CE69D}"/>
    <cellStyle name="Normal 10 3 2" xfId="2870" xr:uid="{8D227FE5-14B3-404C-8894-66911E908459}"/>
    <cellStyle name="Normal 100" xfId="772" xr:uid="{955A9D22-E89B-4BC7-BB58-E822DB12263C}"/>
    <cellStyle name="Normal 100 11" xfId="773" xr:uid="{1BBFCA2F-FEA0-4D68-B3D0-D15224E3B823}"/>
    <cellStyle name="Normal 100 11 2" xfId="2597" xr:uid="{691A7C06-8D3D-4FE4-9624-C18096D80407}"/>
    <cellStyle name="Normal 100 11 3" xfId="3042" xr:uid="{958D7055-9064-4878-9B5D-9E4AA8148CAF}"/>
    <cellStyle name="Normal 100 2" xfId="774" xr:uid="{859607E0-6A69-4546-A554-2B9D253DDFCF}"/>
    <cellStyle name="Normal 100 2 2" xfId="775" xr:uid="{F4453D04-59AB-431A-BF83-3071BA7CF1A2}"/>
    <cellStyle name="Normal 100 3" xfId="776" xr:uid="{8406E398-DCAF-4985-ACB4-0FB8A9F2E356}"/>
    <cellStyle name="Normal 101" xfId="777" xr:uid="{95417BB9-35D0-4540-895B-1829D6EBB26A}"/>
    <cellStyle name="Normal 101 2" xfId="778" xr:uid="{A6B9D511-58E6-42B0-A54D-B185F04861F4}"/>
    <cellStyle name="Normal 101 2 2" xfId="779" xr:uid="{F7397083-31B3-4731-AF38-D5DEADCE776D}"/>
    <cellStyle name="Normal 101 3" xfId="780" xr:uid="{1CC280CC-FA2B-4FA0-A970-4A778FDE6775}"/>
    <cellStyle name="Normal 102" xfId="781" xr:uid="{84622784-8EC5-4BCF-A967-5F5AAC3EBBE8}"/>
    <cellStyle name="Normal 103" xfId="782" xr:uid="{FFCD2709-BA63-43B0-92DF-4B1BE13CCB4C}"/>
    <cellStyle name="Normal 104" xfId="783" xr:uid="{B51F4022-4F62-47E8-BA92-95806D8FAC91}"/>
    <cellStyle name="Normal 105" xfId="784" xr:uid="{B6A19531-DC11-4B45-A595-460F05879999}"/>
    <cellStyle name="Normal 106" xfId="785" xr:uid="{39D0BDE8-EF4E-4A5C-870F-688E6E194B75}"/>
    <cellStyle name="Normal 107" xfId="786" xr:uid="{BBAC43E8-34C7-45C6-BC9B-F6A31B0FA847}"/>
    <cellStyle name="Normal 107 2" xfId="787" xr:uid="{8CF22ADC-066B-4FC7-8D6A-24CCA00C1035}"/>
    <cellStyle name="Normal 108" xfId="788" xr:uid="{723E039D-62DE-4336-B9CE-60FA474870BC}"/>
    <cellStyle name="Normal 108 2" xfId="789" xr:uid="{858A5461-33F0-4BD0-BB11-A7C83C4F0C84}"/>
    <cellStyle name="Normal 109" xfId="790" xr:uid="{D3CB57FD-2BFC-4727-AD70-0055A9D4D2AB}"/>
    <cellStyle name="Normal 109 2" xfId="791" xr:uid="{D9FD7F68-ECF9-4AA7-BA10-72F648FD3FAF}"/>
    <cellStyle name="Normal 11" xfId="792" xr:uid="{F57D5E76-7B54-40B0-8C7D-5EDD065B56B2}"/>
    <cellStyle name="Normal 110" xfId="793" xr:uid="{6917F81B-E01D-427A-8368-3590E1D8A3B9}"/>
    <cellStyle name="Normal 110 2" xfId="794" xr:uid="{D544C297-EBFC-4357-9029-ED209757E5B1}"/>
    <cellStyle name="Normal 111" xfId="795" xr:uid="{A0950903-9BDB-4AD6-8CC2-4A4F35BBF9FE}"/>
    <cellStyle name="Normal 111 2" xfId="796" xr:uid="{3E94BDE6-88FE-44E4-A47C-AE23B697933B}"/>
    <cellStyle name="Normal 112" xfId="797" xr:uid="{2CBEE0DB-7DF4-4C00-87F8-8F2DE1DC3552}"/>
    <cellStyle name="Normal 112 2" xfId="798" xr:uid="{E9EC6B9F-0504-4827-9251-32AF58C7BC29}"/>
    <cellStyle name="Normal 113" xfId="799" xr:uid="{61EC6DB6-CDB7-48A8-952C-F1F1FFE7AA77}"/>
    <cellStyle name="Normal 113 2" xfId="800" xr:uid="{DD97ABD2-3C72-4EA8-AA9F-58CBA4E1C931}"/>
    <cellStyle name="Normal 114" xfId="801" xr:uid="{0B7E27A9-96D3-4D7C-A8AE-AC5F5B03DF27}"/>
    <cellStyle name="Normal 114 2" xfId="802" xr:uid="{EF845249-340D-407C-A167-849A32B82ABE}"/>
    <cellStyle name="Normal 115" xfId="803" xr:uid="{16FFD8FA-1E77-4D4F-8878-E19F570FA33C}"/>
    <cellStyle name="Normal 115 2" xfId="804" xr:uid="{6FF099A5-1193-42DC-8F07-E6EFFE4B5474}"/>
    <cellStyle name="Normal 116" xfId="805" xr:uid="{522CBCD9-B0E7-4A91-A912-75ECE764F30B}"/>
    <cellStyle name="Normal 116 2" xfId="806" xr:uid="{8A1ABE68-E0A4-49A8-98CC-708FDBF709EE}"/>
    <cellStyle name="Normal 117" xfId="807" xr:uid="{083CB6C9-B14F-4436-B138-B48776C8C081}"/>
    <cellStyle name="Normal 117 2" xfId="808" xr:uid="{E0968FBE-591A-4E0D-B844-39AADBCFDF83}"/>
    <cellStyle name="Normal 118" xfId="809" xr:uid="{F0C7B8FD-D7A9-4E00-B2A9-EE0039C8FE9C}"/>
    <cellStyle name="Normal 118 2" xfId="810" xr:uid="{83FDAEB3-5356-4733-9C97-5D4C7EF60221}"/>
    <cellStyle name="Normal 119" xfId="811" xr:uid="{6ED3FE11-DA41-4814-BA35-8107CA238A81}"/>
    <cellStyle name="Normal 119 2" xfId="812" xr:uid="{69F9E17B-4018-4496-9813-1E6C3BBA8E0E}"/>
    <cellStyle name="Normal 12" xfId="813" xr:uid="{844EEE3F-D928-4043-8950-157609A522B2}"/>
    <cellStyle name="Normal 120" xfId="814" xr:uid="{B82461F2-66B6-42B6-AA22-7B6A53496313}"/>
    <cellStyle name="Normal 120 2" xfId="815" xr:uid="{F2874FD1-1729-4F38-9A76-B448126C94A6}"/>
    <cellStyle name="Normal 121" xfId="816" xr:uid="{DD9C2721-953C-4ED5-A9AC-176B3BD599F5}"/>
    <cellStyle name="Normal 121 2" xfId="817" xr:uid="{46FA235E-A292-4386-B1A0-2F37C45AA1DB}"/>
    <cellStyle name="Normal 122" xfId="818" xr:uid="{3D60162D-13E9-443C-A180-2A9FA142F525}"/>
    <cellStyle name="Normal 122 2" xfId="819" xr:uid="{DB552408-C8F2-475C-9053-DF442DF9BB2E}"/>
    <cellStyle name="Normal 123" xfId="820" xr:uid="{F57CAF3D-1914-4E09-8BDF-70D69A881007}"/>
    <cellStyle name="Normal 123 2" xfId="821" xr:uid="{98D03796-37C5-4F7B-986A-E1BB9FFF6AC0}"/>
    <cellStyle name="Normal 124" xfId="822" xr:uid="{F5D1671F-A0DD-4184-8CFF-D7E2D2599C98}"/>
    <cellStyle name="Normal 125" xfId="823" xr:uid="{E949897B-DC34-492B-B9E3-2E49F82FC342}"/>
    <cellStyle name="Normal 126" xfId="824" xr:uid="{F480FA1A-FD9C-436E-87C2-D03658338D38}"/>
    <cellStyle name="Normal 127" xfId="825" xr:uid="{495D6A20-3221-48C0-BDFC-EA1C4B8DA023}"/>
    <cellStyle name="Normal 128" xfId="826" xr:uid="{7EADD94A-E240-48C2-A690-41CCB5D84C9A}"/>
    <cellStyle name="Normal 129" xfId="827" xr:uid="{A61830B1-540A-49CF-A33E-3B5420B12611}"/>
    <cellStyle name="Normal 13" xfId="828" xr:uid="{FCD8AA0E-7CBF-4241-9AC2-020B6FDB44ED}"/>
    <cellStyle name="Normal 130" xfId="829" xr:uid="{1C0CEB90-2117-492D-9E35-12268A66D29E}"/>
    <cellStyle name="Normal 130 2" xfId="2871" xr:uid="{CCE53963-FF5B-4746-96EB-32A662AD5A00}"/>
    <cellStyle name="Normal 131" xfId="830" xr:uid="{B2868C1A-361C-4970-A0E9-C7B6C427C137}"/>
    <cellStyle name="Normal 132" xfId="831" xr:uid="{2DCBF750-35EA-4AED-8C33-ABC7FD3F9292}"/>
    <cellStyle name="Normal 133" xfId="832" xr:uid="{68A196EB-FDF8-4604-9F1D-50D451BE6AF5}"/>
    <cellStyle name="Normal 134" xfId="833" xr:uid="{CF599B65-CC3E-4652-A7C9-7F51D369E338}"/>
    <cellStyle name="Normal 135" xfId="834" xr:uid="{166C3E8B-17B6-4845-93D0-A60C2D008380}"/>
    <cellStyle name="Normal 136" xfId="835" xr:uid="{1EDCFB0C-0B24-4BC8-A02B-8140F23D9489}"/>
    <cellStyle name="Normal 137" xfId="836" xr:uid="{9723891B-C246-4DF0-A390-AC14083BC7EE}"/>
    <cellStyle name="Normal 138" xfId="837" xr:uid="{F3F0FCFD-8E9B-4A80-8EC3-4E2D92F61F06}"/>
    <cellStyle name="Normal 139" xfId="838" xr:uid="{AF4A5902-6E45-44D5-8514-BB5A5351E5D7}"/>
    <cellStyle name="Normal 14" xfId="839" xr:uid="{0F8FB052-381A-4A4F-8CD6-70213F5730A9}"/>
    <cellStyle name="Normal 140" xfId="840" xr:uid="{75E53EDB-1792-4529-BD05-A8A5D8918B11}"/>
    <cellStyle name="Normal 141" xfId="841" xr:uid="{A0D20AB1-10DB-45DD-9C7A-0F93A38006C8}"/>
    <cellStyle name="Normal 142" xfId="842" xr:uid="{18E01205-C64B-4389-9766-BA3CA4057DEC}"/>
    <cellStyle name="Normal 143" xfId="843" xr:uid="{BB70C612-E01E-4018-9D20-0616A79C837B}"/>
    <cellStyle name="Normal 144" xfId="844" xr:uid="{5C0739E5-D4E8-44C8-AA4D-D75A591EFA49}"/>
    <cellStyle name="Normal 145" xfId="845" xr:uid="{EEB8AA73-BCCF-4B39-93F3-53E7319D8A2D}"/>
    <cellStyle name="Normal 146" xfId="846" xr:uid="{E61D13DD-929A-4108-8AA1-890454B5BC1F}"/>
    <cellStyle name="Normal 147" xfId="847" xr:uid="{4E590E05-FF0E-4A78-8019-453E7B3D5A4A}"/>
    <cellStyle name="Normal 148" xfId="848" xr:uid="{3B6047D5-2AD8-4F2B-87ED-6D234C3EF4E6}"/>
    <cellStyle name="Normal 149" xfId="849" xr:uid="{3FA3F74C-F31E-4E02-B738-263C4765E792}"/>
    <cellStyle name="Normal 15" xfId="850" xr:uid="{47EA4EDF-8EE5-4D8C-8269-75A2EAE5847F}"/>
    <cellStyle name="Normal 150" xfId="851" xr:uid="{15E5D001-F9D3-4BC4-86A2-DB9219A934D7}"/>
    <cellStyle name="Normal 151" xfId="852" xr:uid="{0CC36421-EB60-413B-AF99-92B00C26B87C}"/>
    <cellStyle name="Normal 152" xfId="853" xr:uid="{2209D235-6AA5-445E-BA07-BB6EDCC4D19E}"/>
    <cellStyle name="Normal 153" xfId="854" xr:uid="{F27324C4-0AB0-46B6-9961-7B040CB12299}"/>
    <cellStyle name="Normal 154" xfId="855" xr:uid="{92945E26-F2BF-4E83-BC61-F5FA1093943A}"/>
    <cellStyle name="Normal 155" xfId="856" xr:uid="{19132090-B9CF-438A-9AF1-AA7A736644F0}"/>
    <cellStyle name="Normal 156" xfId="857" xr:uid="{51439F88-2AB3-4ED9-B6CF-2329DB40F944}"/>
    <cellStyle name="Normal 157" xfId="858" xr:uid="{288E0F13-CBEF-460F-A08D-E0B7126CABE4}"/>
    <cellStyle name="Normal 157 2" xfId="3061" xr:uid="{59F92CD1-B176-46CF-A89F-8FC6571DC530}"/>
    <cellStyle name="Normal 158" xfId="859" xr:uid="{04719185-2A0E-424A-9DDC-A35591312B68}"/>
    <cellStyle name="Normal 159" xfId="860" xr:uid="{CBB13BE8-3EBB-4781-A81E-0C2C6903C66C}"/>
    <cellStyle name="Normal 16" xfId="861" xr:uid="{977E670A-4FAB-4B0E-A6E0-E7AE096919D6}"/>
    <cellStyle name="Normal 160" xfId="862" xr:uid="{7AAECE42-9130-4023-9747-76FEF5404F6E}"/>
    <cellStyle name="Normal 161" xfId="863" xr:uid="{402C2D2E-44A5-4E62-8F29-66CA3D92C201}"/>
    <cellStyle name="Normal 162" xfId="864" xr:uid="{5CBB4AB5-A6AA-4986-A3F5-7AA58AD6DFFD}"/>
    <cellStyle name="Normal 163" xfId="865" xr:uid="{8470C857-5681-4C45-A75D-FC8B5BB30697}"/>
    <cellStyle name="Normal 164" xfId="866" xr:uid="{8A2C14C2-410B-45FE-8F17-1436F0BC4419}"/>
    <cellStyle name="Normal 165" xfId="867" xr:uid="{D09B74EE-7D14-4BE0-908B-5E5D781D6687}"/>
    <cellStyle name="Normal 166" xfId="868" xr:uid="{95CD16AB-F054-4274-8083-CD43ADE71A80}"/>
    <cellStyle name="Normal 167" xfId="869" xr:uid="{AAEE7F77-A9B9-4C3E-9C18-D3D1A8E84448}"/>
    <cellStyle name="Normal 168" xfId="870" xr:uid="{F6BE5249-443D-42DA-B8B4-F78327578997}"/>
    <cellStyle name="Normal 169" xfId="871" xr:uid="{597B3CD9-3D62-4DE8-ABAD-311266F03E8A}"/>
    <cellStyle name="Normal 17" xfId="872" xr:uid="{B7885D8F-7F51-47BF-987F-0F4175401015}"/>
    <cellStyle name="Normal 17 2" xfId="873" xr:uid="{80EB1E59-FBA0-43B5-9F42-26C35802371E}"/>
    <cellStyle name="Normal 170" xfId="874" xr:uid="{1C30111B-BD0A-4BA0-A83D-C9FF460FD837}"/>
    <cellStyle name="Normal 171" xfId="875" xr:uid="{45606ABC-FBA1-44DA-B1A3-7F7207EAA9E9}"/>
    <cellStyle name="Normal 172" xfId="876" xr:uid="{03D2473F-D259-499E-83CA-9146E754A570}"/>
    <cellStyle name="Normal 173" xfId="877" xr:uid="{1D40E149-36BD-40EC-A70A-82F8A8D4BE11}"/>
    <cellStyle name="Normal 174" xfId="878" xr:uid="{7A8E1E4B-303C-4F15-BEF0-514B1A187641}"/>
    <cellStyle name="Normal 175" xfId="879" xr:uid="{0F5426B0-7B37-4746-B01C-C5D2AACD1C72}"/>
    <cellStyle name="Normal 176" xfId="880" xr:uid="{67664930-A696-40B6-B250-E0579304499C}"/>
    <cellStyle name="Normal 177" xfId="881" xr:uid="{3BC9FC4B-CE5E-4D7A-B60E-16F8EE79E74A}"/>
    <cellStyle name="Normal 178" xfId="882" xr:uid="{0816F77B-44E1-44A0-9061-9FA732897BD0}"/>
    <cellStyle name="Normal 179" xfId="883" xr:uid="{C7DC6303-7501-4F07-B851-D2FB4F2A675A}"/>
    <cellStyle name="Normal 18" xfId="884" xr:uid="{909B2A44-0947-4B50-B1A0-97527F79F655}"/>
    <cellStyle name="Normal 18 2" xfId="885" xr:uid="{A15410BC-EAFC-471B-AFE2-01070A93A5A0}"/>
    <cellStyle name="Normal 18 2 2" xfId="886" xr:uid="{F3285005-292B-43A1-863A-C8B5ACDEBD9F}"/>
    <cellStyle name="Normal 18 2 2 2" xfId="887" xr:uid="{B2A8BA65-870A-4701-91D5-CB19EC5060F2}"/>
    <cellStyle name="Normal 18 2 3" xfId="888" xr:uid="{568D5230-64EF-4BE2-A9FD-4CFA4C78885F}"/>
    <cellStyle name="Normal 18 3" xfId="889" xr:uid="{E753FE9F-1432-48F7-B23B-90F46B2B272E}"/>
    <cellStyle name="Normal 18 3 2" xfId="890" xr:uid="{DA92BC9B-F890-4B37-95D7-4143FE6490CE}"/>
    <cellStyle name="Normal 18 4" xfId="891" xr:uid="{0973B2D2-DF26-4AD3-BE12-648470BBB6B3}"/>
    <cellStyle name="Normal 180" xfId="892" xr:uid="{80819EFF-86D7-4FEF-9C49-2935A899F434}"/>
    <cellStyle name="Normal 181" xfId="893" xr:uid="{26A7A7D6-5210-4FD6-B3EF-FEB90CD98AAF}"/>
    <cellStyle name="Normal 182" xfId="894" xr:uid="{5DE64771-50AF-42E2-A506-09F9257FA678}"/>
    <cellStyle name="Normal 183" xfId="895" xr:uid="{84346358-767E-487E-ABC2-4BF96C2F7B8C}"/>
    <cellStyle name="Normal 184" xfId="896" xr:uid="{9D7E7959-BFA7-40F5-8056-AA4A1DAEE7C8}"/>
    <cellStyle name="Normal 185" xfId="897" xr:uid="{0E443098-35CA-4175-993A-10C45F9FE900}"/>
    <cellStyle name="Normal 186" xfId="898" xr:uid="{553E84EE-8D93-4355-86BE-6B70C0E79094}"/>
    <cellStyle name="Normal 187" xfId="899" xr:uid="{5B618E71-62FF-4F8D-ADAA-762919319B0E}"/>
    <cellStyle name="Normal 188" xfId="900" xr:uid="{5C7239B4-E8B7-463F-AA28-0BC1D8354F42}"/>
    <cellStyle name="Normal 189" xfId="901" xr:uid="{8715F7D9-9C6B-4893-859B-CC5720C2BF68}"/>
    <cellStyle name="Normal 19" xfId="902" xr:uid="{C61EC65F-261D-4D8B-8E4A-11813E828214}"/>
    <cellStyle name="Normal 19 2" xfId="903" xr:uid="{D5002B72-842F-42B0-968D-838B26F87780}"/>
    <cellStyle name="Normal 19 2 2" xfId="904" xr:uid="{370C27CC-9BF3-4092-8CB9-7F09E649B069}"/>
    <cellStyle name="Normal 19 2 2 2" xfId="905" xr:uid="{BE92085B-8F6C-4125-BF63-10D72223BAF7}"/>
    <cellStyle name="Normal 19 2 3" xfId="906" xr:uid="{16887447-8B7D-4C9E-8028-92B79A60ABBD}"/>
    <cellStyle name="Normal 19 3" xfId="907" xr:uid="{90683EE3-AA1D-4D9E-81E3-C4079D68A742}"/>
    <cellStyle name="Normal 19 3 2" xfId="908" xr:uid="{EDEE4B3A-20E9-4F44-AE1D-180E4ABA5742}"/>
    <cellStyle name="Normal 19 4" xfId="909" xr:uid="{2772316B-1EB2-4FDA-9456-258373FD5388}"/>
    <cellStyle name="Normal 190" xfId="910" xr:uid="{41DDDF21-8DE9-4FA1-BCB7-4BBAB52B356C}"/>
    <cellStyle name="Normal 191" xfId="911" xr:uid="{53841925-8F94-4F70-A835-95E3DB4C7AAF}"/>
    <cellStyle name="Normal 192" xfId="912" xr:uid="{7FE90666-7FC2-4F88-B099-2D08509BBBC0}"/>
    <cellStyle name="Normal 193" xfId="913" xr:uid="{956F13E1-DA9B-4E1C-B77E-EE06EDA7E38D}"/>
    <cellStyle name="Normal 194" xfId="914" xr:uid="{F6756DBE-0A86-40B2-A8AB-01FC8E49153E}"/>
    <cellStyle name="Normal 195" xfId="915" xr:uid="{B03F3E7A-5BDB-4D09-8F5E-79F188FD0198}"/>
    <cellStyle name="Normal 196" xfId="916" xr:uid="{FCAE4E91-864E-4866-9665-3969AB1DDF20}"/>
    <cellStyle name="Normal 197" xfId="917" xr:uid="{2F5AC61E-A485-4192-BB3B-2D7E3C6C2A8E}"/>
    <cellStyle name="Normal 198" xfId="918" xr:uid="{E43050F1-017A-411E-A735-63AF6D501441}"/>
    <cellStyle name="Normal 199" xfId="919" xr:uid="{2B7830AE-7AF9-4A00-BF73-473A943FC690}"/>
    <cellStyle name="Normal 2" xfId="920" xr:uid="{E22D49D5-8F39-4546-BF47-07A19167E957}"/>
    <cellStyle name="Normal 2 10" xfId="921" xr:uid="{50185344-134E-465D-A930-FB7468481B62}"/>
    <cellStyle name="Normal 2 2" xfId="4" xr:uid="{6E27C02E-9C68-4D31-B128-1F660ECE6BEB}"/>
    <cellStyle name="Normal 2 2 2" xfId="922" xr:uid="{6871259C-38C7-4E37-A2CC-68C443D0CF61}"/>
    <cellStyle name="Normal 2 2 2 2" xfId="923" xr:uid="{774804A8-CF1F-41BD-9C45-748452B50E78}"/>
    <cellStyle name="Normal 2 2 2 2 2" xfId="924" xr:uid="{33E5F89E-41CE-451A-9034-1CFBFBA50F3C}"/>
    <cellStyle name="Normal 2 2 2 2 2 2" xfId="925" xr:uid="{AA734F04-1755-451C-8775-871B88F2AC11}"/>
    <cellStyle name="Normal 2 2 2 2 2 3" xfId="926" xr:uid="{44BF0F22-AD0D-4A75-8DD3-9AB700D63BD7}"/>
    <cellStyle name="Normal 2 2 2 2 2 4" xfId="927" xr:uid="{B6E20DFD-6ED9-4AC8-92E7-12EEC9A18723}"/>
    <cellStyle name="Normal 2 2 2 2 2 4 2" xfId="928" xr:uid="{D99701F3-30F6-436B-8594-EE255BC28421}"/>
    <cellStyle name="Normal 2 2 2 2 2 5" xfId="929" xr:uid="{781D1691-37D7-4725-A4A4-AA74719F6823}"/>
    <cellStyle name="Normal 2 2 2 2 3" xfId="930" xr:uid="{4979BA23-E1B7-4C4E-BFD0-9D5276606963}"/>
    <cellStyle name="Normal 2 2 2 2 3 2" xfId="931" xr:uid="{3F230ECA-822F-4712-A2DB-CADB1FA824CA}"/>
    <cellStyle name="Normal 2 2 2 2 3 2 2" xfId="932" xr:uid="{9515FD84-9E7E-4E21-8A15-03F102BDADF7}"/>
    <cellStyle name="Normal 2 2 2 2 3 3" xfId="933" xr:uid="{FAAAEA78-9B55-4AAA-8E09-64BD30B5D604}"/>
    <cellStyle name="Normal 2 2 2 3" xfId="934" xr:uid="{5AC904B2-E1FB-48C8-B1AA-49FA38FB1F10}"/>
    <cellStyle name="Normal 2 2 2 4" xfId="935" xr:uid="{BF01048D-2808-467A-AEEB-28F0D362A88D}"/>
    <cellStyle name="Normal 2 2 2 5" xfId="936" xr:uid="{0E13EEB6-80CE-484F-9278-522C20F44108}"/>
    <cellStyle name="Normal 2 2 2 5 2" xfId="937" xr:uid="{16DAC5B0-F127-4497-BF0F-017091ACA0D5}"/>
    <cellStyle name="Normal 2 2 2 6" xfId="938" xr:uid="{3630EF84-AAE3-45B5-BF84-5867B7B16294}"/>
    <cellStyle name="Normal 2 2 3" xfId="939" xr:uid="{ED249DF5-2302-4016-AB10-27C0250471D8}"/>
    <cellStyle name="Normal 2 2 3 2" xfId="940" xr:uid="{3A6B1EEC-89A3-4F07-A132-40AC2089E828}"/>
    <cellStyle name="Normal 2 2 3 2 2" xfId="941" xr:uid="{705A0C38-C7FF-4830-A749-1B9273BF584B}"/>
    <cellStyle name="Normal 2 2 3 3" xfId="942" xr:uid="{8B7EED99-279E-4324-ADB0-A1EA3A0B647F}"/>
    <cellStyle name="Normal 2 2 4" xfId="943" xr:uid="{84AE19AC-35D7-460A-ACAA-3ABCDD84FA7C}"/>
    <cellStyle name="Normal 2 2 4 2" xfId="944" xr:uid="{D231AF7B-C65F-48DF-9E7C-D0DFDF140FB9}"/>
    <cellStyle name="Normal 2 2 5" xfId="945" xr:uid="{6F6609DD-942A-41B4-9C4B-6D1C3AB90019}"/>
    <cellStyle name="Normal 2 2 6" xfId="946" xr:uid="{DAC1F5BB-683A-436F-937D-747A7F481717}"/>
    <cellStyle name="Normal 2 3" xfId="947" xr:uid="{6611B590-9196-454D-82B3-094EB0D101F8}"/>
    <cellStyle name="Normal 2 4" xfId="948" xr:uid="{12D86CC1-EF8F-470A-852E-FC36AB127FD0}"/>
    <cellStyle name="Normal 2 4 2" xfId="949" xr:uid="{48A86AFB-850C-4E54-B38D-758FED694E37}"/>
    <cellStyle name="Normal 2 4 2 2" xfId="950" xr:uid="{CC8AC453-ACC3-457E-B659-4D440E1D88B5}"/>
    <cellStyle name="Normal 2 4 2 2 2" xfId="951" xr:uid="{F0A97A4D-EC41-4C85-80B7-1E7B2A7C7634}"/>
    <cellStyle name="Normal 2 4 2 3" xfId="952" xr:uid="{B2BB35CA-9F78-4C6B-91F9-575A09092F99}"/>
    <cellStyle name="Normal 2 4 3" xfId="953" xr:uid="{04D5B84D-75C8-4E33-A595-02E068DF760A}"/>
    <cellStyle name="Normal 2 4 4" xfId="954" xr:uid="{F0097AB5-5CDB-423D-BCA4-27D68A4E0C0C}"/>
    <cellStyle name="Normal 2 4 5" xfId="955" xr:uid="{18DDD2B9-38B5-451E-BA7B-40E991738363}"/>
    <cellStyle name="Normal 2 4 5 2" xfId="956" xr:uid="{AF2AB9B5-BD2B-497C-B83E-A6B685E0C475}"/>
    <cellStyle name="Normal 2 4 6" xfId="957" xr:uid="{F53A5C96-CEA9-47F2-996C-390E69FE7C46}"/>
    <cellStyle name="Normal 2 4 7" xfId="3068" xr:uid="{F6BE11F9-128E-4EF5-B372-8F5F54195D9E}"/>
    <cellStyle name="Normal 2 5" xfId="958" xr:uid="{CD8A8FE4-7CA1-4D80-A870-DDB976BC0395}"/>
    <cellStyle name="Normal 2 5 2" xfId="3043" xr:uid="{267FF047-76B6-4C37-AE9F-9427128BC879}"/>
    <cellStyle name="Normal 2 6" xfId="959" xr:uid="{2E33DADF-C3A4-42E9-8040-302476621246}"/>
    <cellStyle name="Normal 2 6 2" xfId="2872" xr:uid="{2376AD1E-1AC9-47A9-B923-6E560875E400}"/>
    <cellStyle name="Normal 2 6_D53 C1 2022 Specialty Trend" xfId="3044" xr:uid="{F7789EC5-620D-44A2-B0A7-A539CACA001D}"/>
    <cellStyle name="Normal 2_2012 actual" xfId="960" xr:uid="{9E7E0FF9-A738-4513-8C5E-E86E5123BBD7}"/>
    <cellStyle name="Normal 20" xfId="961" xr:uid="{2430A552-A9B3-4F3B-BE70-49677B5BFC45}"/>
    <cellStyle name="Normal 200" xfId="962" xr:uid="{26D25F9C-CD49-49F6-8BEA-5DB569BE9995}"/>
    <cellStyle name="Normal 201" xfId="963" xr:uid="{36203D30-1599-4BDA-9BC0-5B9017AFBB85}"/>
    <cellStyle name="Normal 202" xfId="964" xr:uid="{313E162D-BF2E-42E1-89A0-6F6D6E73B960}"/>
    <cellStyle name="Normal 203" xfId="965" xr:uid="{E3875EE4-02D4-4B27-994B-643B1D883D64}"/>
    <cellStyle name="Normal 204" xfId="966" xr:uid="{5238A3A1-32F0-40EC-8FAB-D08B848BAD87}"/>
    <cellStyle name="Normal 205" xfId="967" xr:uid="{ABC51272-1D91-48E1-AB32-48C3854C2ED3}"/>
    <cellStyle name="Normal 206" xfId="968" xr:uid="{0B086C37-6D9B-4590-B28F-F250FA60F336}"/>
    <cellStyle name="Normal 207" xfId="969" xr:uid="{FB621365-069C-4A30-9007-770F99114987}"/>
    <cellStyle name="Normal 208" xfId="970" xr:uid="{76171D48-B496-48A8-B5D8-78A7E03FCB5B}"/>
    <cellStyle name="Normal 209" xfId="971" xr:uid="{62E3EDCC-E256-4C3A-B758-2918A358164C}"/>
    <cellStyle name="Normal 21" xfId="972" xr:uid="{10BF1158-C7F0-4CBC-9C8A-2CD3D31C50FD}"/>
    <cellStyle name="Normal 210" xfId="973" xr:uid="{7A5F5173-90E8-419C-972A-3F35EB04A41F}"/>
    <cellStyle name="Normal 211" xfId="974" xr:uid="{3D02D2F1-04CA-489F-A590-8FCCB3610FA0}"/>
    <cellStyle name="Normal 212" xfId="975" xr:uid="{80926280-73F0-49BE-B2C4-A06F4C1D6484}"/>
    <cellStyle name="Normal 213" xfId="976" xr:uid="{23ED8FF2-A819-493F-AC59-DC1469DFAE85}"/>
    <cellStyle name="Normal 214" xfId="977" xr:uid="{6E5022ED-79F3-45AF-86D3-B82A202F8FD9}"/>
    <cellStyle name="Normal 215" xfId="978" xr:uid="{1F480286-DC59-482D-B343-5B70ACD1EB99}"/>
    <cellStyle name="Normal 216" xfId="979" xr:uid="{BFF15F68-5FA3-4BE0-B9AC-D6050AF0C08F}"/>
    <cellStyle name="Normal 217" xfId="980" xr:uid="{139F5E7E-D0A6-4352-B89C-B5BDBB1256B5}"/>
    <cellStyle name="Normal 218" xfId="981" xr:uid="{55B5BD33-83CB-4ED8-8BDB-CD9B09CBED06}"/>
    <cellStyle name="Normal 219" xfId="982" xr:uid="{84CC06D8-F2A0-4FC8-9B5B-441645DDAD6A}"/>
    <cellStyle name="Normal 22" xfId="983" xr:uid="{C2FB1A54-BEEA-42DC-AA95-DBF4DFB2B527}"/>
    <cellStyle name="Normal 220" xfId="984" xr:uid="{99E089CE-4413-4E73-9A8C-49477D84F6D8}"/>
    <cellStyle name="Normal 221" xfId="985" xr:uid="{D55EEA9A-D48F-4457-95F5-2F48E074A6F2}"/>
    <cellStyle name="Normal 222" xfId="986" xr:uid="{50DC3A9B-AB9F-4D48-B10D-F1C77B0925FC}"/>
    <cellStyle name="Normal 223" xfId="987" xr:uid="{F27EA7F5-BF4A-4570-B77F-E65BE7075C27}"/>
    <cellStyle name="Normal 224" xfId="988" xr:uid="{002380F7-1300-432B-BC5B-12D72D9943EA}"/>
    <cellStyle name="Normal 225" xfId="989" xr:uid="{22827FA9-9A07-4272-8DA7-D1199B715C87}"/>
    <cellStyle name="Normal 226" xfId="990" xr:uid="{CA28ECD3-D93F-4C15-827C-C92E491B7BC8}"/>
    <cellStyle name="Normal 227" xfId="991" xr:uid="{B8B73702-4C1B-4DDF-BD89-49A53D84A9F7}"/>
    <cellStyle name="Normal 228" xfId="992" xr:uid="{EC150F51-EDC4-4558-901B-5CC8B065385A}"/>
    <cellStyle name="Normal 229" xfId="993" xr:uid="{FF6F1FED-3F15-4C61-A8D2-11647A9C29C8}"/>
    <cellStyle name="Normal 23" xfId="994" xr:uid="{7C62405A-FA2D-4557-B70D-233085421488}"/>
    <cellStyle name="Normal 230" xfId="995" xr:uid="{000F6CB1-E070-4B8D-8FE3-EC1EBB5B1190}"/>
    <cellStyle name="Normal 231" xfId="996" xr:uid="{DE0F8282-2111-4E65-8BE1-1B3A7185DD10}"/>
    <cellStyle name="Normal 232" xfId="997" xr:uid="{F4EDFFFB-2220-48AA-9077-3E1D3FDA9139}"/>
    <cellStyle name="Normal 233" xfId="998" xr:uid="{14E9CCB7-89D3-4B6B-9DB1-C74C4F0407B0}"/>
    <cellStyle name="Normal 234" xfId="999" xr:uid="{A93AC820-E979-4C40-B017-1E70C3B40B97}"/>
    <cellStyle name="Normal 235" xfId="1000" xr:uid="{4DC12BE1-9DA3-4326-B541-AD67AC4012BC}"/>
    <cellStyle name="Normal 236" xfId="1001" xr:uid="{EF6C56D8-055C-48B3-958C-8E7E7522AFAE}"/>
    <cellStyle name="Normal 237" xfId="1002" xr:uid="{2888300D-64BC-4620-955D-9FCEF07DF564}"/>
    <cellStyle name="Normal 238" xfId="1003" xr:uid="{8BB47E08-9701-43BE-B13D-DD07FF35DD37}"/>
    <cellStyle name="Normal 239" xfId="1004" xr:uid="{C7DDAB59-57F0-463C-8711-54B70BEFA425}"/>
    <cellStyle name="Normal 24" xfId="1005" xr:uid="{3FB473A3-485E-44E0-9B05-07BA888D07FD}"/>
    <cellStyle name="Normal 240" xfId="1006" xr:uid="{C7E20162-8535-44DC-B1D9-CCEF648D3693}"/>
    <cellStyle name="Normal 241" xfId="1007" xr:uid="{A6BF283F-CE44-4643-903F-2506ABF4121D}"/>
    <cellStyle name="Normal 242" xfId="1008" xr:uid="{3D8CFE2D-2340-4FA7-9F2E-21B73C52805A}"/>
    <cellStyle name="Normal 243" xfId="1009" xr:uid="{6AF968A8-8430-45A1-8682-0DCB70E47602}"/>
    <cellStyle name="Normal 244" xfId="1010" xr:uid="{3AE5ED03-100A-4E6E-B774-76024B315FF7}"/>
    <cellStyle name="Normal 245" xfId="1011" xr:uid="{6C6F82D8-46D7-4E14-9804-FB4B27C6D2FF}"/>
    <cellStyle name="Normal 246" xfId="1012" xr:uid="{CC22B532-10F0-4895-B262-E7CF172D1761}"/>
    <cellStyle name="Normal 247" xfId="1013" xr:uid="{9B5A6DA2-AD5D-4B31-A142-857DA4EBD49D}"/>
    <cellStyle name="Normal 248" xfId="1014" xr:uid="{1BFDE302-2FD4-403D-8C30-9B8B079431A9}"/>
    <cellStyle name="Normal 249" xfId="1015" xr:uid="{040469EC-49D2-4BB7-AB9F-9A908D32BFDB}"/>
    <cellStyle name="Normal 25" xfId="1016" xr:uid="{AB134E8C-59CE-4E5D-8AEA-662540C430D7}"/>
    <cellStyle name="Normal 250" xfId="1017" xr:uid="{0D6ED760-A70A-4BA0-BDE9-52F5EB898AD0}"/>
    <cellStyle name="Normal 251" xfId="1018" xr:uid="{0B259965-C998-45C8-BCDD-4FF06A779C4C}"/>
    <cellStyle name="Normal 252" xfId="1019" xr:uid="{8048D868-FC9E-4F4A-991E-C84150540564}"/>
    <cellStyle name="Normal 252 2" xfId="1020" xr:uid="{DE3B5C0A-0971-44BE-9444-CE9ED285F932}"/>
    <cellStyle name="Normal 252 3" xfId="1021" xr:uid="{BE1596EA-E425-4636-A00D-5E208CF08610}"/>
    <cellStyle name="Normal 253" xfId="1022" xr:uid="{558C053D-7595-4503-80FE-6DC923D67186}"/>
    <cellStyle name="Normal 254" xfId="1023" xr:uid="{71E8A59C-C092-40F0-ACDA-CBE4B0EEFA2A}"/>
    <cellStyle name="Normal 254 2" xfId="1024" xr:uid="{F9EA694E-C0E5-4AC3-84CF-96B86ABF3FD1}"/>
    <cellStyle name="Normal 254 3" xfId="1025" xr:uid="{17975EE8-04A1-4972-BBEE-1069721230A9}"/>
    <cellStyle name="Normal 255" xfId="1026" xr:uid="{94132E26-8CB3-49AD-A1BD-24BAF53BDBDC}"/>
    <cellStyle name="Normal 255 2" xfId="1027" xr:uid="{B55C81B3-C8CC-4984-84D7-814E6BEF4411}"/>
    <cellStyle name="Normal 255 3" xfId="1028" xr:uid="{865B468B-BF44-4A12-B253-94F203D9DD14}"/>
    <cellStyle name="Normal 256" xfId="1029" xr:uid="{3AF67292-8238-4B07-A0BD-A9CCAE5F1474}"/>
    <cellStyle name="Normal 256 2" xfId="1030" xr:uid="{A2DEA6D8-0139-4E3C-93AB-4E71309B1BD6}"/>
    <cellStyle name="Normal 256 3" xfId="1031" xr:uid="{202A0319-47F5-474A-901F-97648460F728}"/>
    <cellStyle name="Normal 257" xfId="1032" xr:uid="{7EC8A2B9-4387-403F-9099-6F378464E8B3}"/>
    <cellStyle name="Normal 257 2" xfId="1033" xr:uid="{153A15A1-E158-451B-8952-DBC9A12A80D9}"/>
    <cellStyle name="Normal 257 3" xfId="1034" xr:uid="{426F25BB-E3F0-4EDD-A723-C86CCE2D735E}"/>
    <cellStyle name="Normal 258" xfId="1035" xr:uid="{7FCEA8B7-0533-47BA-A2D5-B09CF56F733B}"/>
    <cellStyle name="Normal 258 2" xfId="1036" xr:uid="{E7749F6B-E007-4D7C-924C-F3AD3CBC44D3}"/>
    <cellStyle name="Normal 258 3" xfId="1037" xr:uid="{938AC575-0415-4487-9DC4-257925D101A4}"/>
    <cellStyle name="Normal 259" xfId="1038" xr:uid="{87BA078B-094D-4E51-87C8-5322E04CF136}"/>
    <cellStyle name="Normal 259 2" xfId="1039" xr:uid="{9DB2FB85-BF9D-47CF-8EE1-444DFA9CB656}"/>
    <cellStyle name="Normal 259 3" xfId="1040" xr:uid="{1569758B-2FAC-41B8-96B6-F339FFDAE8CB}"/>
    <cellStyle name="Normal 26" xfId="1041" xr:uid="{AEF8CD06-6ECF-4482-BEC3-5800FF002B87}"/>
    <cellStyle name="Normal 260" xfId="1042" xr:uid="{14A45402-40DC-4891-9B37-BA5938615CCD}"/>
    <cellStyle name="Normal 261" xfId="1043" xr:uid="{C5445CBB-9EF8-4F03-9477-13E7CD00A260}"/>
    <cellStyle name="Normal 262" xfId="1044" xr:uid="{7F91908F-E690-4374-8A7F-601604756296}"/>
    <cellStyle name="Normal 263" xfId="1045" xr:uid="{F498C511-C508-4C7E-A16A-5B18BE813D71}"/>
    <cellStyle name="Normal 263 2" xfId="1046" xr:uid="{AA5162A9-6C9E-4415-AB45-D2DF33181C65}"/>
    <cellStyle name="Normal 263 3" xfId="1047" xr:uid="{799B49D2-0C06-475C-8113-C9072ED94AF3}"/>
    <cellStyle name="Normal 264" xfId="1048" xr:uid="{1DDA9B5C-D238-4B3D-B52E-B9D669E45832}"/>
    <cellStyle name="Normal 264 2" xfId="1049" xr:uid="{F8E27FC8-1053-459F-8F76-F5F1A71CE3A1}"/>
    <cellStyle name="Normal 264 3" xfId="1050" xr:uid="{6AD28BDE-2E05-49E7-AC8B-D1F4957DB296}"/>
    <cellStyle name="Normal 265" xfId="1051" xr:uid="{283974CF-7902-4EBB-8B27-82CBE74C6644}"/>
    <cellStyle name="Normal 266" xfId="1052" xr:uid="{87A2068B-CFCD-41DE-924B-770EBACFD3CB}"/>
    <cellStyle name="Normal 266 2" xfId="1053" xr:uid="{3BA5FD13-F1F7-4414-A252-F10D305438AF}"/>
    <cellStyle name="Normal 266 3" xfId="1054" xr:uid="{9BF6D03A-F7C8-4B18-B2E1-8BE2D63CBEE7}"/>
    <cellStyle name="Normal 267" xfId="1055" xr:uid="{085C2462-3FE9-48E0-960D-8053BEF4E79B}"/>
    <cellStyle name="Normal 268" xfId="1056" xr:uid="{2BE525DA-149B-48B6-9377-4D627085252F}"/>
    <cellStyle name="Normal 269" xfId="1057" xr:uid="{99DAD5B7-4FC2-42AE-837B-C1FCA7A85F2D}"/>
    <cellStyle name="Normal 27" xfId="1058" xr:uid="{CA47BED0-49F9-4088-9A2F-0C594FF74131}"/>
    <cellStyle name="Normal 270" xfId="1059" xr:uid="{5ED8BC2B-53B2-4771-BBB2-6917D2E9691A}"/>
    <cellStyle name="Normal 271" xfId="1060" xr:uid="{57C823DC-BEEC-4F80-A099-3BC51C376F6D}"/>
    <cellStyle name="Normal 272" xfId="1061" xr:uid="{4E36D0CA-B756-4147-9E64-2291EDD1A726}"/>
    <cellStyle name="Normal 273" xfId="1062" xr:uid="{D0C2FC5D-1147-4484-8BED-55EE59FFF225}"/>
    <cellStyle name="Normal 274" xfId="1063" xr:uid="{746BE45F-85A7-492B-837E-070B32A96C71}"/>
    <cellStyle name="Normal 275" xfId="1064" xr:uid="{73273E52-6D31-4814-996A-549552384048}"/>
    <cellStyle name="Normal 276" xfId="1065" xr:uid="{1772E089-98F5-4820-BABF-826587E15D16}"/>
    <cellStyle name="Normal 277" xfId="1066" xr:uid="{E1E5FDCB-DF23-4A03-A95D-FCF1193E47A6}"/>
    <cellStyle name="Normal 278" xfId="1067" xr:uid="{A117FBF1-BBCF-4CB1-8FE8-3EE8FE370D74}"/>
    <cellStyle name="Normal 279" xfId="1068" xr:uid="{FA5C9311-6637-4578-9CDE-1285A187444C}"/>
    <cellStyle name="Normal 28" xfId="1069" xr:uid="{00D64BE1-3D2D-4503-AB55-E6AE5C109A61}"/>
    <cellStyle name="Normal 280" xfId="1070" xr:uid="{01B66E1D-A178-4266-AD50-B387EEAA9422}"/>
    <cellStyle name="Normal 281" xfId="1071" xr:uid="{BC6E7713-0DC0-4C7E-99EF-0CA2B5758A6E}"/>
    <cellStyle name="Normal 282" xfId="1072" xr:uid="{4758ED9D-3BEC-4371-BD7C-4E2995B435A2}"/>
    <cellStyle name="Normal 283" xfId="1073" xr:uid="{D4D60AC0-0EC2-4C20-9AAB-AEF898F7635B}"/>
    <cellStyle name="Normal 284" xfId="1074" xr:uid="{2ADAD545-157A-492F-9608-F59E3C895876}"/>
    <cellStyle name="Normal 285" xfId="1075" xr:uid="{AE2AFBF3-77DE-44D4-97E2-EAA3CB4EC8A0}"/>
    <cellStyle name="Normal 286" xfId="1076" xr:uid="{8ADCA8B6-28A1-4BFD-809E-209DFAC18B89}"/>
    <cellStyle name="Normal 287" xfId="1077" xr:uid="{090D2E6F-2DD4-4F92-A9EE-BD9BDEE7E8F1}"/>
    <cellStyle name="Normal 288" xfId="1078" xr:uid="{5AD2F4D3-F5B9-4635-9D2A-208414777199}"/>
    <cellStyle name="Normal 289" xfId="1079" xr:uid="{A5A2331F-136F-4F6E-B1F4-35AC6C893DF8}"/>
    <cellStyle name="Normal 29" xfId="1080" xr:uid="{B967C4F2-32CC-4E83-A41B-6A8E240116FF}"/>
    <cellStyle name="Normal 290" xfId="1081" xr:uid="{7C9CFB8A-6BFD-4F64-8F48-6D233BBE03AE}"/>
    <cellStyle name="Normal 291" xfId="1082" xr:uid="{07B2C44C-B3CC-4CEB-B384-02264B5DB24F}"/>
    <cellStyle name="Normal 292" xfId="1083" xr:uid="{FE6E600F-A832-49A5-8F24-0CFE3DA94A82}"/>
    <cellStyle name="Normal 293" xfId="1084" xr:uid="{897EA535-116C-4F2D-9067-98624A801C08}"/>
    <cellStyle name="Normal 294" xfId="1085" xr:uid="{33815D5E-4E41-4120-86BC-EA1D45D27FC2}"/>
    <cellStyle name="Normal 295" xfId="1086" xr:uid="{BAE5185C-147B-4BEE-8822-752398A864DA}"/>
    <cellStyle name="Normal 296" xfId="1087" xr:uid="{35364E5D-D1AD-4C94-AA7C-0168B7E13043}"/>
    <cellStyle name="Normal 297" xfId="1088" xr:uid="{2C5F5301-B080-4E0E-B177-18D799A2AA54}"/>
    <cellStyle name="Normal 298" xfId="1089" xr:uid="{8B952C16-D4D9-43CD-AC51-459D5F9EAE96}"/>
    <cellStyle name="Normal 299" xfId="1090" xr:uid="{EED04A1A-2E1F-4014-91D1-38EE7FA9E7CF}"/>
    <cellStyle name="Normal 3" xfId="5" xr:uid="{9AFD05B9-8F95-48BF-AEA0-CF2BFF2FE0B8}"/>
    <cellStyle name="Normal 3 10" xfId="1091" xr:uid="{B53F4442-5850-4CCA-9CA2-F52605EA848E}"/>
    <cellStyle name="Normal 3 2" xfId="1092" xr:uid="{E0E203D0-4A0D-40CF-9779-1E07E42874F1}"/>
    <cellStyle name="Normal 3 2 2" xfId="1093" xr:uid="{DE51E435-EDF5-41A2-96DA-2B99013223EF}"/>
    <cellStyle name="Normal 3 2 2 2" xfId="1094" xr:uid="{48E7BCD2-13AD-4B4F-B0DD-24D334D5ACDD}"/>
    <cellStyle name="Normal 3 2 2 2 2" xfId="1095" xr:uid="{69B7CF56-6469-4F71-AD4F-C7C8351DC077}"/>
    <cellStyle name="Normal 3 2 2 3" xfId="1096" xr:uid="{A6D44950-2408-4492-9FD3-729213E4CAE3}"/>
    <cellStyle name="Normal 3 2 3" xfId="1097" xr:uid="{D611A01F-5AD6-4C72-8753-5257208E5534}"/>
    <cellStyle name="Normal 3 2 3 2" xfId="1098" xr:uid="{E687D5EF-0468-4F4F-BF5C-440D81C17127}"/>
    <cellStyle name="Normal 3 2 4" xfId="1099" xr:uid="{01282E12-2BC9-4E04-B1FE-2AA26E9611D4}"/>
    <cellStyle name="Normal 3 2 5" xfId="1100" xr:uid="{C67E8160-8340-4380-B4E5-B6581538A218}"/>
    <cellStyle name="Normal 3 3" xfId="1101" xr:uid="{3FED5521-38AC-4B5B-9785-04708118E0B3}"/>
    <cellStyle name="Normal 3 3 2" xfId="1102" xr:uid="{6A38C1C6-070B-4262-AD2A-B251A89D4FC7}"/>
    <cellStyle name="Normal 3 3 2 2" xfId="1103" xr:uid="{04731F92-C14B-4B8B-9817-C997E506D422}"/>
    <cellStyle name="Normal 3 3 3" xfId="1104" xr:uid="{DDF31493-58CF-4992-B907-47584093EBB9}"/>
    <cellStyle name="Normal 3 4" xfId="1105" xr:uid="{E5E941FD-FA16-487F-A3BC-4A126F746193}"/>
    <cellStyle name="Normal 3 4 2" xfId="1106" xr:uid="{B223C786-3E3F-4B29-A8F1-7259612B2411}"/>
    <cellStyle name="Normal 3 4 2 2" xfId="1107" xr:uid="{B925FCCC-0CAE-4DA1-8B98-046DE36770DB}"/>
    <cellStyle name="Normal 3 4 3" xfId="1108" xr:uid="{9241B6B4-E9C1-444A-B485-F68F91614033}"/>
    <cellStyle name="Normal 3 5" xfId="1109" xr:uid="{A3A123DD-A03B-4325-B3EB-45B88AD45379}"/>
    <cellStyle name="Normal 3 5 2" xfId="1110" xr:uid="{67EF984F-5C06-415E-878F-75D91649D9BA}"/>
    <cellStyle name="Normal 3 5 2 2" xfId="1111" xr:uid="{4914FC32-7C57-41E6-9AF0-0A04FEB8F124}"/>
    <cellStyle name="Normal 3 5 3" xfId="1112" xr:uid="{AC7E3B46-BE08-42A0-B1D4-8D0439CA7BD8}"/>
    <cellStyle name="Normal 3 6" xfId="1113" xr:uid="{43648DC7-EC00-4A6B-B96F-D600EB19EA74}"/>
    <cellStyle name="Normal 3 7" xfId="1114" xr:uid="{9BDD3751-C6B4-43B3-8803-9E30B5BD1008}"/>
    <cellStyle name="Normal 3 8" xfId="1115" xr:uid="{735E2C2F-4F1A-4385-94E3-DB592D679080}"/>
    <cellStyle name="Normal 3 9" xfId="1116" xr:uid="{F8A1A560-512E-429F-B72C-9A01C4CD83C0}"/>
    <cellStyle name="Normal 30" xfId="1117" xr:uid="{0EB7ACDC-1BCE-4ED5-A76D-A52E1B5A31B9}"/>
    <cellStyle name="Normal 300" xfId="1118" xr:uid="{53A770E9-D12D-46EF-81B6-3A5DCC223A6D}"/>
    <cellStyle name="Normal 301" xfId="1119" xr:uid="{9FAC364A-5E6E-4ECF-84DF-25D5723B7CD5}"/>
    <cellStyle name="Normal 302" xfId="1120" xr:uid="{A07A8235-CBF2-454A-BAB6-3F201199435E}"/>
    <cellStyle name="Normal 303" xfId="1121" xr:uid="{C0D4C831-B0DF-4792-8A3A-4616D29BB0DA}"/>
    <cellStyle name="Normal 304" xfId="1122" xr:uid="{DCCCBCDF-CC1A-4B94-8E39-99ADD1BDCC68}"/>
    <cellStyle name="Normal 305" xfId="1123" xr:uid="{76FF0B17-5A8D-45C3-95B5-0037A6605D88}"/>
    <cellStyle name="Normal 306" xfId="1124" xr:uid="{8F7B2DB3-61DD-431E-9358-C046CACF8C27}"/>
    <cellStyle name="Normal 307" xfId="1125" xr:uid="{8509EC82-68D3-4540-89A0-B51AB82CE458}"/>
    <cellStyle name="Normal 308" xfId="1126" xr:uid="{9CD3F0D1-E23F-4C94-BBA7-D7180E958EB0}"/>
    <cellStyle name="Normal 309" xfId="1127" xr:uid="{534B6E78-B1EC-418F-9880-71887DD7DF02}"/>
    <cellStyle name="Normal 31" xfId="1128" xr:uid="{58162993-6384-47E9-A453-D3218DF34563}"/>
    <cellStyle name="Normal 310" xfId="1129" xr:uid="{25E0F759-4AC0-485A-9C1B-DF4B0F699DC9}"/>
    <cellStyle name="Normal 311" xfId="1130" xr:uid="{8A563123-18E0-4D4F-B4B5-72B9F4E592E1}"/>
    <cellStyle name="Normal 312" xfId="1131" xr:uid="{2C29E7CB-CBA2-440C-A6DA-BCB709E218CE}"/>
    <cellStyle name="Normal 313" xfId="1132" xr:uid="{BE208C0F-592D-4421-BB7D-AA535730572E}"/>
    <cellStyle name="Normal 314" xfId="1133" xr:uid="{090DD864-FF73-4C35-B4C2-C6CABFDF3BC7}"/>
    <cellStyle name="Normal 315" xfId="1134" xr:uid="{C4DBCA2E-3666-426D-820E-108E3D729CF0}"/>
    <cellStyle name="Normal 316" xfId="1135" xr:uid="{FE3FC21E-64C4-4D9F-9D90-D3C283D8FFF2}"/>
    <cellStyle name="Normal 317" xfId="1136" xr:uid="{042B48E8-9C8F-434A-88AE-EC7C755853C9}"/>
    <cellStyle name="Normal 318" xfId="1137" xr:uid="{465FA652-17C6-483B-8015-40B08B57F15D}"/>
    <cellStyle name="Normal 319" xfId="1138" xr:uid="{A28E56DB-8EE5-4616-9287-12301781501C}"/>
    <cellStyle name="Normal 32" xfId="1139" xr:uid="{BBDF4DB6-9708-4F2C-9769-C255C1B3B8EB}"/>
    <cellStyle name="Normal 32 2" xfId="1140" xr:uid="{28E1AC6F-C1B5-42BC-85E1-48D52AE220E3}"/>
    <cellStyle name="Normal 320" xfId="1141" xr:uid="{A17941AC-72B4-435B-A1EC-02B249811098}"/>
    <cellStyle name="Normal 321" xfId="1142" xr:uid="{A058B6D0-3078-4B12-8E88-440217D47650}"/>
    <cellStyle name="Normal 322" xfId="1143" xr:uid="{8E962DBD-1C7E-4AFF-9FB6-A312E4922B4A}"/>
    <cellStyle name="Normal 323" xfId="1144" xr:uid="{F75850A2-FF78-43F2-BA43-403362512438}"/>
    <cellStyle name="Normal 324" xfId="1145" xr:uid="{1BDCD52E-92AA-4C6C-B99F-10E06DE4D77F}"/>
    <cellStyle name="Normal 325" xfId="1146" xr:uid="{508C5B4D-D485-444F-ABF2-0C4F73723950}"/>
    <cellStyle name="Normal 326" xfId="1147" xr:uid="{0CE99C6F-01A8-4B39-AE4F-4ECBD797EB2A}"/>
    <cellStyle name="Normal 327" xfId="1148" xr:uid="{6F10D5F0-28E6-489C-A244-5A7AD738B22A}"/>
    <cellStyle name="Normal 328" xfId="1149" xr:uid="{CF5C6F5F-17EA-4D94-BAA6-FB831BC14938}"/>
    <cellStyle name="Normal 329" xfId="1150" xr:uid="{6B6902F2-A5FC-4759-B975-0CE20F2148E3}"/>
    <cellStyle name="Normal 33" xfId="1151" xr:uid="{C52E4FC5-9B7B-4165-A742-3E2AA0215D3E}"/>
    <cellStyle name="Normal 33 2" xfId="1152" xr:uid="{F08603C3-A6C0-47C9-836F-F56C4D477968}"/>
    <cellStyle name="Normal 33 2 2" xfId="1153" xr:uid="{AAD977FF-BA06-48A8-B2BE-3A2F1EBBEB2E}"/>
    <cellStyle name="Normal 33 3" xfId="1154" xr:uid="{6CE6CF9C-3019-42DE-A0C8-0158996F9CBB}"/>
    <cellStyle name="Normal 330" xfId="1155" xr:uid="{EA1311D9-1076-4BA1-9DD7-8B38D4EB5AE0}"/>
    <cellStyle name="Normal 331" xfId="1156" xr:uid="{2C30848E-74AA-44AB-939E-9556352ED34B}"/>
    <cellStyle name="Normal 332" xfId="1157" xr:uid="{D90828D2-5CB4-4166-96D3-A30AF269D510}"/>
    <cellStyle name="Normal 333" xfId="1158" xr:uid="{E6FE5E1C-3E4D-4DFD-8616-A5A965805CFC}"/>
    <cellStyle name="Normal 334" xfId="1159" xr:uid="{FC6953A1-2ACC-4693-B663-564AEF7F21D4}"/>
    <cellStyle name="Normal 335" xfId="1160" xr:uid="{83BC5F65-E9F4-4B70-BAD1-6F718C2F9AB3}"/>
    <cellStyle name="Normal 336" xfId="1161" xr:uid="{503E147C-458D-46E3-83A2-298132328767}"/>
    <cellStyle name="Normal 337" xfId="1162" xr:uid="{D7F55CC2-4FE6-4538-A6D7-63485890550E}"/>
    <cellStyle name="Normal 338" xfId="1163" xr:uid="{BB051A02-CBDB-4594-B1B1-7006B82CB09E}"/>
    <cellStyle name="Normal 339" xfId="1164" xr:uid="{025B05E5-21AF-4861-A368-8B01B0CD86BB}"/>
    <cellStyle name="Normal 34" xfId="1165" xr:uid="{21C73FDD-E5E8-468F-BFA5-25D86F1F677F}"/>
    <cellStyle name="Normal 34 2" xfId="1166" xr:uid="{943A2FA9-3A44-48E3-80C4-10AC71731F91}"/>
    <cellStyle name="Normal 34 2 2" xfId="1167" xr:uid="{9E2141C3-516B-4354-A4D0-37ED4581382C}"/>
    <cellStyle name="Normal 34 3" xfId="1168" xr:uid="{45835B25-EA8E-4CB6-8233-9F2705241044}"/>
    <cellStyle name="Normal 340" xfId="1169" xr:uid="{56F16E0C-BB53-4811-8D0D-558EAC095C8C}"/>
    <cellStyle name="Normal 341" xfId="1170" xr:uid="{414868A1-768D-4B54-B1E5-BEF8E065937E}"/>
    <cellStyle name="Normal 342" xfId="1171" xr:uid="{911FD308-B0CA-4E11-A09F-31AE00B1AC7F}"/>
    <cellStyle name="Normal 343" xfId="1172" xr:uid="{A81720D2-355D-494D-BA32-EFD811514428}"/>
    <cellStyle name="Normal 344" xfId="1173" xr:uid="{3662CE1F-C0C9-47F8-9DFD-FAC9E6177E7C}"/>
    <cellStyle name="Normal 345" xfId="1174" xr:uid="{4ECBCF8E-A6F3-4A4D-9BE4-2E2691C73DFB}"/>
    <cellStyle name="Normal 346" xfId="1175" xr:uid="{672DC098-7405-4227-81CE-D4B254AAF22F}"/>
    <cellStyle name="Normal 347" xfId="1176" xr:uid="{FA5919B9-8BFE-4756-B1D4-66DE4E4FDB86}"/>
    <cellStyle name="Normal 348" xfId="1177" xr:uid="{573A5062-A468-4E48-A0A4-EE106D7CDEEC}"/>
    <cellStyle name="Normal 349" xfId="1178" xr:uid="{A5EE2715-6EA2-44F0-91F5-BB9EF7E46B21}"/>
    <cellStyle name="Normal 35" xfId="1179" xr:uid="{CE2BC7E6-49FB-442C-9C60-85EA9EA790AC}"/>
    <cellStyle name="Normal 35 2" xfId="2873" xr:uid="{83797F71-0F81-40FD-B3F0-84042D61E71E}"/>
    <cellStyle name="Normal 350" xfId="1180" xr:uid="{F76212D3-7C36-4EDE-B2C9-040ED71CB53E}"/>
    <cellStyle name="Normal 351" xfId="1181" xr:uid="{BA803272-E4C1-4251-AB8B-1C15943B02DE}"/>
    <cellStyle name="Normal 352" xfId="1182" xr:uid="{6EAC5C31-5AEC-48A3-9776-AF529374FC36}"/>
    <cellStyle name="Normal 353" xfId="1183" xr:uid="{CC4F7B4C-4A5C-4F80-9548-B044FF48AE0F}"/>
    <cellStyle name="Normal 353 2" xfId="2874" xr:uid="{28DBB6BE-9623-47C9-B0A8-575F480DBDFE}"/>
    <cellStyle name="Normal 354" xfId="1184" xr:uid="{F34CECF4-FC3C-48B0-AFEF-1B2725DF23EF}"/>
    <cellStyle name="Normal 354 2" xfId="2875" xr:uid="{BF2CD576-5616-4DBE-AF41-DDA2555C816F}"/>
    <cellStyle name="Normal 355" xfId="1185" xr:uid="{32E28D8A-4EC8-4746-A5CB-3BB606C988D2}"/>
    <cellStyle name="Normal 355 2" xfId="2876" xr:uid="{27C59A6F-9231-4744-8E34-4E692D22E2CB}"/>
    <cellStyle name="Normal 356" xfId="1186" xr:uid="{B4E50AC3-8089-4A4C-A6AF-A040BD57436F}"/>
    <cellStyle name="Normal 356 2" xfId="2877" xr:uid="{52A04B50-57F5-4F37-9473-36031FFEAB7E}"/>
    <cellStyle name="Normal 357" xfId="1187" xr:uid="{A72134F3-FE7D-499F-995F-CA1AD857AEE3}"/>
    <cellStyle name="Normal 357 2" xfId="2987" xr:uid="{C382BF72-5675-45EB-ADF1-68A387ABCE6E}"/>
    <cellStyle name="Normal 358" xfId="3032" xr:uid="{B3223130-A6A8-4BD9-A393-82BEEF8658B8}"/>
    <cellStyle name="Normal 359" xfId="3052" xr:uid="{25310C67-60DD-47D8-82C0-A3D47AB7F6FD}"/>
    <cellStyle name="Normal 36" xfId="1188" xr:uid="{EC01A1AC-D6FA-4158-8199-A24D91901C23}"/>
    <cellStyle name="Normal 36 2" xfId="2878" xr:uid="{CB4E5E0F-D7FE-403B-92BD-63B3F124125C}"/>
    <cellStyle name="Normal 360" xfId="3055" xr:uid="{973248A7-DB69-47C9-A96E-F41B139C9A15}"/>
    <cellStyle name="Normal 361" xfId="3057" xr:uid="{83394192-7A80-4857-8FB0-05675D7F076F}"/>
    <cellStyle name="Normal 362" xfId="3077" xr:uid="{84830384-20F4-4F10-99B2-E6F48A0714A1}"/>
    <cellStyle name="Normal 363" xfId="3079" xr:uid="{376C0B33-87A4-4046-946C-C126615E6FCA}"/>
    <cellStyle name="Normal 364" xfId="3083" xr:uid="{6A2C9EF4-BA40-4AA3-9985-ED1E2D08F8A8}"/>
    <cellStyle name="Normal 37" xfId="1189" xr:uid="{8913C0E8-E3AB-4783-A0DA-1ABCDB0284FC}"/>
    <cellStyle name="Normal 37 2" xfId="1190" xr:uid="{EA6D9E04-1BEE-494B-89E3-DF1B44A7ABD8}"/>
    <cellStyle name="Normal 37 2 2" xfId="1191" xr:uid="{20CC45B8-C19E-4887-86AD-1BEC75DDABFB}"/>
    <cellStyle name="Normal 37 3" xfId="1192" xr:uid="{027D73AB-D5F7-44D3-AC4E-831F496B96A1}"/>
    <cellStyle name="Normal 38" xfId="1193" xr:uid="{C9E1AB10-C837-4BEB-B41E-5B78F915CD1E}"/>
    <cellStyle name="Normal 38 2" xfId="1194" xr:uid="{79242AB9-236A-49F8-84C0-33ABD9147429}"/>
    <cellStyle name="Normal 38 2 2" xfId="1195" xr:uid="{5D1D7393-1AA6-4536-AD77-6B061A9B8167}"/>
    <cellStyle name="Normal 38 3" xfId="1196" xr:uid="{74EEFFE0-0A36-4B38-8FD0-32E394BCF8F6}"/>
    <cellStyle name="Normal 39" xfId="1197" xr:uid="{3E1D6F5E-33CA-4E22-AA15-2B32EFF41150}"/>
    <cellStyle name="Normal 39 2" xfId="1198" xr:uid="{D88E3C86-3D45-42E6-9924-C86A95B5F845}"/>
    <cellStyle name="Normal 39 2 2" xfId="1199" xr:uid="{94568498-5DED-4E6E-8453-55763337ECB9}"/>
    <cellStyle name="Normal 39 3" xfId="1200" xr:uid="{109D25F5-A174-460D-AEF2-810582DC2790}"/>
    <cellStyle name="Normal 4" xfId="1201" xr:uid="{88484608-DDFE-474E-B8FF-ABC3CCE94DAB}"/>
    <cellStyle name="Normal 4 2" xfId="1202" xr:uid="{1FD0468F-1ACD-48E5-BBE3-21B09DF65854}"/>
    <cellStyle name="Normal 4 2 2" xfId="1203" xr:uid="{F358534C-A357-496D-9FB3-13E109ED2DE9}"/>
    <cellStyle name="Normal 4 2 2 2" xfId="1204" xr:uid="{A90327BA-ECA1-453A-BF4E-A5D49C299DA5}"/>
    <cellStyle name="Normal 4 2 2 2 2" xfId="1205" xr:uid="{EA80C7B0-3705-4B93-8560-AC78D719912B}"/>
    <cellStyle name="Normal 4 2 2 2 2 2" xfId="1206" xr:uid="{AE6D1EE8-9533-4AA0-B26C-7DB3CE5DDD59}"/>
    <cellStyle name="Normal 4 2 2 2 3" xfId="1207" xr:uid="{1B977B1B-FC74-41D3-A1D6-376A1A10AA2B}"/>
    <cellStyle name="Normal 4 2 2 3" xfId="1208" xr:uid="{29D5C283-0F9E-4CD2-B010-A918BF9D083E}"/>
    <cellStyle name="Normal 4 2 2 3 2" xfId="1209" xr:uid="{EFFDB425-4907-44D9-B958-0F32E77F4E73}"/>
    <cellStyle name="Normal 4 2 2 3 2 2" xfId="1210" xr:uid="{B7FF518A-8AAD-4618-AB0D-E7A999A63CB8}"/>
    <cellStyle name="Normal 4 2 2 3 3" xfId="1211" xr:uid="{C0ACBB8A-8D77-4AA3-BBDF-76CAD888D1C5}"/>
    <cellStyle name="Normal 4 2 3" xfId="1212" xr:uid="{7F26D728-9F7A-4C4B-928A-F24073D2CBED}"/>
    <cellStyle name="Normal 4 2 4" xfId="1213" xr:uid="{C120C41C-6F56-4642-9B9B-263F8701ACB2}"/>
    <cellStyle name="Normal 4 2 4 2" xfId="1214" xr:uid="{003FD0E3-4D78-4590-8879-A249A02FB7DC}"/>
    <cellStyle name="Normal 4 2 5" xfId="1215" xr:uid="{A7C941CC-0BAB-4DE7-A2C2-5B8F3BA2735C}"/>
    <cellStyle name="Normal 4 2 6" xfId="3062" xr:uid="{D04010E4-2286-430E-BDF6-B7FCF5AA2CA6}"/>
    <cellStyle name="Normal 4 3" xfId="1216" xr:uid="{1B158DC7-6C3D-4A81-BB49-FF491409BFB2}"/>
    <cellStyle name="Normal 4 4" xfId="1217" xr:uid="{6B038AE7-0A0D-489C-AF5C-E763C27540C3}"/>
    <cellStyle name="Normal 4 5" xfId="1218" xr:uid="{41FAB59B-BAAC-43EF-BD09-A010394F9980}"/>
    <cellStyle name="Normal 4 6" xfId="1219" xr:uid="{DC5546A6-898F-48BB-A18E-7D5777D0E4D8}"/>
    <cellStyle name="Normal 4 6 2" xfId="2372" xr:uid="{959C89EB-54FD-4876-9D28-C1E71A6D3349}"/>
    <cellStyle name="Normal 4 7" xfId="1220" xr:uid="{AE8E7B54-6030-4E5E-BFBD-416DC3B7FB88}"/>
    <cellStyle name="Normal 40" xfId="1221" xr:uid="{43EF4471-4B5D-4CFE-B07F-6F133E4F471D}"/>
    <cellStyle name="Normal 40 2" xfId="1222" xr:uid="{9ECC4FB9-4C6D-47A3-9409-BF821AA4A235}"/>
    <cellStyle name="Normal 40 2 2" xfId="1223" xr:uid="{A2BF40BE-B9BB-4521-833D-B7667516239B}"/>
    <cellStyle name="Normal 40 3" xfId="1224" xr:uid="{AD29D172-EBB1-4C05-8B60-C8AEBE598EAA}"/>
    <cellStyle name="Normal 40 4" xfId="1225" xr:uid="{AF7E94B1-678D-4B20-9D4E-877B99B48164}"/>
    <cellStyle name="Normal 40 5" xfId="1226" xr:uid="{CB50F40B-ACB0-4D5E-AD03-41E21C0DCFBA}"/>
    <cellStyle name="Normal 41" xfId="1227" xr:uid="{3A985781-1981-4C29-914F-4B60596DEF61}"/>
    <cellStyle name="Normal 41 2" xfId="1228" xr:uid="{C2BFC026-741F-4425-859F-F920CCD2F891}"/>
    <cellStyle name="Normal 41 2 2" xfId="1229" xr:uid="{500CB7E0-4FC0-4C8C-AEFD-D03BAC9BD933}"/>
    <cellStyle name="Normal 41 3" xfId="1230" xr:uid="{16F1BE68-BDE9-45A1-8944-1607C99AEDB6}"/>
    <cellStyle name="Normal 42" xfId="1231" xr:uid="{5835D09B-7179-4BB7-A7C4-07FFF5C7C8F4}"/>
    <cellStyle name="Normal 42 2" xfId="1232" xr:uid="{5B708FB9-D9E7-4C12-8892-0D53690E83E7}"/>
    <cellStyle name="Normal 42 2 2" xfId="1233" xr:uid="{757F80B6-9455-4351-96E1-195036BAC42E}"/>
    <cellStyle name="Normal 42 3" xfId="1234" xr:uid="{D7DCFF47-3A63-49DF-873B-DC35E0D5478F}"/>
    <cellStyle name="Normal 427" xfId="3045" xr:uid="{72AA49C9-7996-4BBF-ABBC-435C493FA205}"/>
    <cellStyle name="Normal 43" xfId="1235" xr:uid="{19D62382-C685-41D1-9931-AA49554E5A99}"/>
    <cellStyle name="Normal 43 2" xfId="1236" xr:uid="{9C2BB827-80F1-4F75-9EC3-AD89377EE50A}"/>
    <cellStyle name="Normal 43 2 2" xfId="1237" xr:uid="{F5508586-7911-4FFD-BB6E-27A4B80BF3D9}"/>
    <cellStyle name="Normal 43 3" xfId="1238" xr:uid="{2CABC3BA-DB9E-416A-9C47-C7B0B7B11C81}"/>
    <cellStyle name="Normal 44" xfId="1239" xr:uid="{95C42F43-F7C1-4DD1-830C-778EB1EE08E2}"/>
    <cellStyle name="Normal 44 2" xfId="1240" xr:uid="{ECF18BED-6F3D-4D75-9FD8-24BCCD64E273}"/>
    <cellStyle name="Normal 44 2 2" xfId="1241" xr:uid="{D08283FD-E59E-48E6-8DB0-9527DA385359}"/>
    <cellStyle name="Normal 44 3" xfId="1242" xr:uid="{69A99950-3EAD-4ED4-8E3D-D3213825852A}"/>
    <cellStyle name="Normal 45" xfId="1243" xr:uid="{A57B6202-C6FE-457E-BC48-2A282A76B646}"/>
    <cellStyle name="Normal 45 2" xfId="1244" xr:uid="{443E2A72-836B-4BA9-AE1D-683AEFC6821D}"/>
    <cellStyle name="Normal 45 2 2" xfId="1245" xr:uid="{9023E76A-E3ED-4935-B473-32B8C7AB26FB}"/>
    <cellStyle name="Normal 45 3" xfId="1246" xr:uid="{5B92340A-30F4-4A1E-AFF1-4D20AA45A206}"/>
    <cellStyle name="Normal 451" xfId="1247" xr:uid="{517A98C7-7C6F-44B2-A306-A371A4A8D3EA}"/>
    <cellStyle name="Normal 451 2" xfId="2373" xr:uid="{54F89123-EED0-414E-883C-8075361A62CF}"/>
    <cellStyle name="Normal 451 3" xfId="2595" xr:uid="{D2885292-056A-41C7-AFD8-D1B83EDC4D2B}"/>
    <cellStyle name="Normal 452" xfId="1248" xr:uid="{30388C11-5EE9-4FAE-A242-F874D7A3C872}"/>
    <cellStyle name="Normal 452 2" xfId="2374" xr:uid="{D7FDDAB9-8CC3-4ADB-A288-C4E4D7F06B42}"/>
    <cellStyle name="Normal 452 3" xfId="2594" xr:uid="{71F59079-A73F-44B4-A6D9-42F5D175F50E}"/>
    <cellStyle name="Normal 453" xfId="1249" xr:uid="{624EBBCD-457D-4278-AD1F-E8B352510FC9}"/>
    <cellStyle name="Normal 453 2" xfId="2375" xr:uid="{C43E3B86-F151-4D32-A26B-5DCD21FA3818}"/>
    <cellStyle name="Normal 453 3" xfId="2593" xr:uid="{ABAC2C28-9E14-4A35-866C-E6FA9CD1B19C}"/>
    <cellStyle name="Normal 46" xfId="1250" xr:uid="{C5D984E3-3343-4BE5-BD6E-7F2F21A16E39}"/>
    <cellStyle name="Normal 46 2" xfId="1251" xr:uid="{26F5745D-A021-44AA-8579-BC914DA6DD42}"/>
    <cellStyle name="Normal 46 2 2" xfId="1252" xr:uid="{C2030B9F-6EB9-40EA-82C7-ED77C19885EA}"/>
    <cellStyle name="Normal 46 3" xfId="1253" xr:uid="{FA088C30-0474-45E0-9975-03907BA92821}"/>
    <cellStyle name="Normal 461" xfId="1254" xr:uid="{D6BC3E97-6146-4BC0-83C7-2B6D0AB9D75D}"/>
    <cellStyle name="Normal 463" xfId="1255" xr:uid="{92B1A227-8F0E-4CB3-AAFB-3CE0705D82D1}"/>
    <cellStyle name="Normal 465" xfId="3046" xr:uid="{75D8768F-76AB-4996-AD80-5E75742A6E13}"/>
    <cellStyle name="Normal 466" xfId="3047" xr:uid="{5B1DE53E-1A65-4ACD-96A4-1CD49AB5FDFB}"/>
    <cellStyle name="Normal 467" xfId="3048" xr:uid="{A50DECFC-530B-423E-81E1-2CA2704422FA}"/>
    <cellStyle name="Normal 47" xfId="1256" xr:uid="{E7D7E974-B02F-4B30-BE8A-3D68AD32F96D}"/>
    <cellStyle name="Normal 47 2" xfId="1257" xr:uid="{2D80C468-59DC-42A7-AF84-DB1A806ECA9E}"/>
    <cellStyle name="Normal 47 2 2" xfId="1258" xr:uid="{5C5FCCFF-0BED-4621-A899-9056B48D32AF}"/>
    <cellStyle name="Normal 47 3" xfId="1259" xr:uid="{D06B299D-1FAE-4AEF-A0DA-A51092FEEDC6}"/>
    <cellStyle name="Normal 471 2" xfId="3086" xr:uid="{38C1B615-2218-4118-80AD-4AC8EC835D7E}"/>
    <cellStyle name="Normal 475" xfId="3049" xr:uid="{85894296-B883-4540-B4F6-C4C81090E0A6}"/>
    <cellStyle name="Normal 478" xfId="3050" xr:uid="{906EDD50-26AD-459C-BFFC-1EA2C0CDA8C4}"/>
    <cellStyle name="Normal 48" xfId="1260" xr:uid="{29CE2B26-B11C-4DE2-8030-0F5F17C04E17}"/>
    <cellStyle name="Normal 48 2" xfId="1261" xr:uid="{ECE38BA4-C92A-420A-B3C2-532CC2DF8532}"/>
    <cellStyle name="Normal 48 2 2" xfId="1262" xr:uid="{7B8FECD0-E6F9-4968-A45A-55E30CBBA580}"/>
    <cellStyle name="Normal 48 3" xfId="1263" xr:uid="{85638F02-99FA-4065-853A-D3A18DECBD08}"/>
    <cellStyle name="Normal 49" xfId="1264" xr:uid="{8E678ADF-67D0-4F52-B5DC-2A5DA0868162}"/>
    <cellStyle name="Normal 49 2" xfId="1265" xr:uid="{A4F20438-0E7A-4EF7-90EB-C96344A51686}"/>
    <cellStyle name="Normal 49 2 2" xfId="1266" xr:uid="{3F9B06FD-1A6E-4F73-ABDD-671E439718AA}"/>
    <cellStyle name="Normal 49 3" xfId="1267" xr:uid="{2B160191-2A5B-4795-8473-E3929F0D3732}"/>
    <cellStyle name="Normal 5" xfId="1268" xr:uid="{45D6D676-00DB-4301-A577-0C81FC9654A7}"/>
    <cellStyle name="Normal 5 2" xfId="1269" xr:uid="{EDDE01ED-78E9-4948-B516-F454F1EE90D2}"/>
    <cellStyle name="Normal 5 2 2" xfId="1270" xr:uid="{6E17B8EB-8E75-4144-AFDB-07A3E5A462F8}"/>
    <cellStyle name="Normal 5 2 2 2" xfId="1271" xr:uid="{8C22A637-D6A6-44F1-B850-4C885E123EC8}"/>
    <cellStyle name="Normal 5 2 3" xfId="1272" xr:uid="{5DE2B77C-B6D7-44E5-ADDB-E533A5A75BC3}"/>
    <cellStyle name="Normal 5 3" xfId="1273" xr:uid="{874D588B-52A3-4B5A-B8B7-09F785230252}"/>
    <cellStyle name="Normal 5 3 2" xfId="1274" xr:uid="{BBB5A8CD-355A-4495-B977-E6E0CDAAFB45}"/>
    <cellStyle name="Normal 5 3 2 2" xfId="1275" xr:uid="{890D9824-4125-4B56-ADF2-0B2C00BE0579}"/>
    <cellStyle name="Normal 5 3 3" xfId="1276" xr:uid="{BF7707CA-5CBC-4BEA-8537-802FBF097A50}"/>
    <cellStyle name="Normal 5 4" xfId="1277" xr:uid="{5F06C19A-24D1-40F5-B6AF-20DA4356C76B}"/>
    <cellStyle name="Normal 5 4 2" xfId="1278" xr:uid="{50089272-FD87-42C6-BB12-37AF27A124AB}"/>
    <cellStyle name="Normal 5 4 2 2" xfId="1279" xr:uid="{13E52DFB-437F-425F-92A7-DD6FA59A25B5}"/>
    <cellStyle name="Normal 5 4 3" xfId="1280" xr:uid="{B61A0234-BC10-4EC4-BF05-9A29EF91C293}"/>
    <cellStyle name="Normal 5 5" xfId="1281" xr:uid="{B132EEF5-E92B-42C8-BA37-38AAB9E020BA}"/>
    <cellStyle name="Normal 5 5 2" xfId="1282" xr:uid="{E20A677A-869A-440C-9B75-4FC20D2E966F}"/>
    <cellStyle name="Normal 5 6" xfId="1283" xr:uid="{8EB3B06A-3341-45AE-919F-812B5177372C}"/>
    <cellStyle name="Normal 5 7" xfId="1284" xr:uid="{BA136428-B1F9-4252-8CBF-65DDE18852C1}"/>
    <cellStyle name="Normal 50" xfId="1285" xr:uid="{233E6AE9-6286-4CB4-B00E-25C1E7429847}"/>
    <cellStyle name="Normal 50 2" xfId="1286" xr:uid="{248ACF90-0018-4F9B-99D7-952FCA73C685}"/>
    <cellStyle name="Normal 50 2 2" xfId="1287" xr:uid="{22ACE9CD-DABE-434F-9149-7F202CC65E98}"/>
    <cellStyle name="Normal 50 3" xfId="1288" xr:uid="{B8780EF0-DA89-426F-99D5-4383C89D02CB}"/>
    <cellStyle name="Normal 51" xfId="1289" xr:uid="{40DB1FB9-1A28-4207-AB98-4A39927B0859}"/>
    <cellStyle name="Normal 51 2" xfId="1290" xr:uid="{DDCA11AB-5E66-4CBA-B428-BD988EF141C6}"/>
    <cellStyle name="Normal 51 2 2" xfId="1291" xr:uid="{94155111-0DFB-40FB-97D6-3209EB3391A2}"/>
    <cellStyle name="Normal 51 3" xfId="1292" xr:uid="{0378A34B-62A8-4127-9F90-BB8DC2472125}"/>
    <cellStyle name="Normal 52" xfId="1293" xr:uid="{4B91F884-2CFF-48B9-97EC-1E0AFF573DF5}"/>
    <cellStyle name="Normal 52 2" xfId="1294" xr:uid="{B4462618-6D51-4F77-84BA-2B6D655A32FE}"/>
    <cellStyle name="Normal 52 2 2" xfId="1295" xr:uid="{BC3EB7CD-C882-4DA2-9799-6536D9FC6D29}"/>
    <cellStyle name="Normal 52 3" xfId="1296" xr:uid="{4240C8EF-1409-4583-BCAA-FA20DA5CD756}"/>
    <cellStyle name="Normal 53" xfId="1297" xr:uid="{5D31A83D-D4DA-4B94-8662-649EB99214DA}"/>
    <cellStyle name="Normal 53 2" xfId="1298" xr:uid="{432B743E-FD7F-46A4-9657-6DD72F1E6D98}"/>
    <cellStyle name="Normal 53 2 2" xfId="1299" xr:uid="{4DF03A47-E2BB-480A-B00D-E04BBD30F0F3}"/>
    <cellStyle name="Normal 53 3" xfId="1300" xr:uid="{5D51FBB9-7460-4584-B798-7C9E57DDC968}"/>
    <cellStyle name="Normal 54" xfId="1301" xr:uid="{8F3D0712-5520-464B-B29C-9A3113A4017E}"/>
    <cellStyle name="Normal 54 2" xfId="1302" xr:uid="{D68330EB-8414-4418-AE9C-CFEE1B1E5AC0}"/>
    <cellStyle name="Normal 54 2 2" xfId="1303" xr:uid="{2F053E81-A7FC-4644-B7A8-F3F7692370C9}"/>
    <cellStyle name="Normal 54 3" xfId="1304" xr:uid="{3E34D6CD-82B2-4755-9FD9-D3BDFBA5106F}"/>
    <cellStyle name="Normal 55" xfId="1305" xr:uid="{A32936C5-5B13-4476-9394-EEAC0C85A365}"/>
    <cellStyle name="Normal 55 2" xfId="1306" xr:uid="{6CFF7B77-5046-4E80-8590-43C88A3D6DBD}"/>
    <cellStyle name="Normal 55 2 2" xfId="1307" xr:uid="{6E4A63F7-15FC-4AA7-ADB6-42C7EE096E04}"/>
    <cellStyle name="Normal 55 3" xfId="1308" xr:uid="{758D6095-428D-4951-BA0F-78B539F3AD39}"/>
    <cellStyle name="Normal 56" xfId="1309" xr:uid="{EB1D1CF5-4A78-4181-B2E5-30C43A4215A6}"/>
    <cellStyle name="Normal 56 2" xfId="1310" xr:uid="{FA8CE93A-F9FC-432C-8CC2-9DC5AB434805}"/>
    <cellStyle name="Normal 56 2 2" xfId="1311" xr:uid="{37766570-F47B-40B3-9B10-5F6C2756C6C3}"/>
    <cellStyle name="Normal 56 3" xfId="1312" xr:uid="{550630B8-9B07-48DA-9659-C8BBB75FF57E}"/>
    <cellStyle name="Normal 57" xfId="1313" xr:uid="{DD6EC91A-001C-4BDE-8D1B-EFE1A46FFF4E}"/>
    <cellStyle name="Normal 57 2" xfId="1314" xr:uid="{7BD31134-76FA-4DEB-9699-FA211A7EF1BB}"/>
    <cellStyle name="Normal 57 2 2" xfId="1315" xr:uid="{B177A8ED-E9B8-4A13-B9CA-A0C68CF48E45}"/>
    <cellStyle name="Normal 57 3" xfId="1316" xr:uid="{CB1DBD58-253A-4005-9E7D-FB0D1BB37AD1}"/>
    <cellStyle name="Normal 58" xfId="1317" xr:uid="{4B9A49C3-B7F2-4720-8EDD-CAB67C6B4961}"/>
    <cellStyle name="Normal 58 2" xfId="1318" xr:uid="{8C4382DB-53CE-4823-8844-C9BFDBE9CEB6}"/>
    <cellStyle name="Normal 58 2 2" xfId="1319" xr:uid="{692C8F66-29B9-46B0-A6D3-90DC95D6AE66}"/>
    <cellStyle name="Normal 58 3" xfId="1320" xr:uid="{64375C1B-F81E-4EAC-BD59-AB238ECC5551}"/>
    <cellStyle name="Normal 59" xfId="1321" xr:uid="{EE68CA0D-EBD2-40C5-ADDF-CCD2301813E9}"/>
    <cellStyle name="Normal 59 2" xfId="1322" xr:uid="{F3290552-AFD6-4FF6-8D7D-57ECB5AE405C}"/>
    <cellStyle name="Normal 59 2 2" xfId="1323" xr:uid="{FB21413F-3A2F-49F6-902D-2C2A7C39CEDC}"/>
    <cellStyle name="Normal 59 3" xfId="1324" xr:uid="{C4BDA2B4-D728-410A-AC5E-F340056FCA16}"/>
    <cellStyle name="Normal 6" xfId="1325" xr:uid="{2FB098E6-1308-438E-9EF9-BC46D456D108}"/>
    <cellStyle name="Normal 6 2" xfId="1326" xr:uid="{6BE79E81-92CA-4EC9-948D-140E5E0C5A45}"/>
    <cellStyle name="Normal 6 3" xfId="1327" xr:uid="{7B4BEE82-279B-4E13-80C4-D89B3359C8D7}"/>
    <cellStyle name="Normal 6 3 2" xfId="2879" xr:uid="{D0FEFB8C-FB31-4184-A326-C4E14E6EBCE6}"/>
    <cellStyle name="Normal 6 4" xfId="1328" xr:uid="{8079D0A9-EDFD-4A2C-9C5D-04C11017A25C}"/>
    <cellStyle name="Normal 6 4 2" xfId="2880" xr:uid="{1A23CAC2-027F-4170-9737-7896F7A9E0EB}"/>
    <cellStyle name="Normal 60" xfId="1329" xr:uid="{A63F0655-C0C5-4171-B6BB-A431748D462A}"/>
    <cellStyle name="Normal 60 2" xfId="1330" xr:uid="{899458CA-0516-4F32-B16E-2E067EAC35B5}"/>
    <cellStyle name="Normal 60 2 2" xfId="1331" xr:uid="{F1DAE39B-1D7A-4924-B786-92D7C08BBE91}"/>
    <cellStyle name="Normal 60 3" xfId="1332" xr:uid="{ADCA6696-0072-432D-9CC7-BFF7C4CC26A7}"/>
    <cellStyle name="Normal 61" xfId="1333" xr:uid="{04C1BEC4-B4E1-4345-98FE-7C261F1C6B70}"/>
    <cellStyle name="Normal 61 2" xfId="1334" xr:uid="{0141FC55-6060-4532-9215-827CB649BCED}"/>
    <cellStyle name="Normal 61 2 2" xfId="1335" xr:uid="{2955229D-DF6B-4D00-8144-BBFDCED10AD5}"/>
    <cellStyle name="Normal 61 3" xfId="1336" xr:uid="{AA0BA58C-B77D-4969-BCAD-1DC61E4F1006}"/>
    <cellStyle name="Normal 62" xfId="1337" xr:uid="{3B3FF06D-8FC9-43F7-AED6-788B73B3493E}"/>
    <cellStyle name="Normal 62 2" xfId="1338" xr:uid="{B3D1D811-A80B-4915-8530-09B52E137FD5}"/>
    <cellStyle name="Normal 62 2 2" xfId="1339" xr:uid="{7343585C-583C-4AD8-A9CB-21656EB95821}"/>
    <cellStyle name="Normal 62 3" xfId="1340" xr:uid="{90B0AB9F-5FE3-4CA5-A44A-04869D9B83A7}"/>
    <cellStyle name="Normal 63" xfId="1341" xr:uid="{912322F3-AE1F-4070-843C-A77C383EF04C}"/>
    <cellStyle name="Normal 63 2" xfId="2881" xr:uid="{35E810C7-BD70-411F-A99B-AF3A4EB7F349}"/>
    <cellStyle name="Normal 64" xfId="1342" xr:uid="{846C3B39-4714-44FD-BF36-E0B5F64EBB4C}"/>
    <cellStyle name="Normal 64 2" xfId="1343" xr:uid="{A6CFD523-79DD-45F3-A6FE-24065CA8B1A0}"/>
    <cellStyle name="Normal 65" xfId="1344" xr:uid="{723562F4-45BC-47A8-ADCD-F8E043335D9F}"/>
    <cellStyle name="Normal 65 2" xfId="1345" xr:uid="{7FA007E6-31B9-48DA-8A54-31D73487B3B2}"/>
    <cellStyle name="Normal 65 2 2" xfId="1346" xr:uid="{290F2683-D1EB-4075-BCFF-EFFCD80A6D86}"/>
    <cellStyle name="Normal 65 3" xfId="1347" xr:uid="{3DAA1870-C48E-4486-9F8A-B3B639FDE4D0}"/>
    <cellStyle name="Normal 66" xfId="1348" xr:uid="{CAB6D187-25B7-4168-A5A1-683FBFC67E50}"/>
    <cellStyle name="Normal 66 2" xfId="1349" xr:uid="{64215A51-6CF7-4D10-A153-EC32F8AC7347}"/>
    <cellStyle name="Normal 66 2 2" xfId="1350" xr:uid="{D7E323DF-6307-4C7A-B111-AEEF835B977A}"/>
    <cellStyle name="Normal 66 3" xfId="1351" xr:uid="{11A3B39C-20C2-4FAD-B51D-8F8E2D50527F}"/>
    <cellStyle name="Normal 67" xfId="1352" xr:uid="{B981E3C6-CFBA-485A-9FBB-B84ACA074E75}"/>
    <cellStyle name="Normal 67 2" xfId="1353" xr:uid="{1F3E2A8A-0F32-401A-8C3A-356D1F69A5BB}"/>
    <cellStyle name="Normal 67 2 2" xfId="1354" xr:uid="{7D9E4037-21F4-404C-82A4-FE202E67B127}"/>
    <cellStyle name="Normal 67 3" xfId="1355" xr:uid="{C899747D-5CE9-46C7-B888-B7C7B00CE559}"/>
    <cellStyle name="Normal 68" xfId="1356" xr:uid="{A57E8B3E-8225-4195-B9AE-9720780D2336}"/>
    <cellStyle name="Normal 68 2" xfId="1357" xr:uid="{52798629-23C1-4978-9857-B66159166971}"/>
    <cellStyle name="Normal 68 2 2" xfId="1358" xr:uid="{FAC989AA-AA3B-4A4F-BF48-17D8F7FD5DB7}"/>
    <cellStyle name="Normal 68 3" xfId="1359" xr:uid="{83B610E1-B81D-40AA-95BB-31A951D17F7E}"/>
    <cellStyle name="Normal 69" xfId="1360" xr:uid="{3C9B771A-B0D4-4CE1-8AB9-DAB883E9F539}"/>
    <cellStyle name="Normal 69 2" xfId="1361" xr:uid="{CA6C0CEC-5302-4D7D-913F-E1FD03D97272}"/>
    <cellStyle name="Normal 69 2 2" xfId="1362" xr:uid="{7397AEA6-7E01-44BA-9CC8-132A07E9DA1B}"/>
    <cellStyle name="Normal 69 3" xfId="1363" xr:uid="{CC24FD4C-06F7-4761-B60A-408DCCB45351}"/>
    <cellStyle name="Normal 7" xfId="3" xr:uid="{80EBA1B5-159A-4C44-982D-D7BA3687DE0A}"/>
    <cellStyle name="Normal 7 2" xfId="3064" xr:uid="{9AEA94C4-DB57-4188-BEFD-2FAB070CC524}"/>
    <cellStyle name="Normal 7 3" xfId="1364" xr:uid="{1FF870C1-C378-4F2F-9723-8C4A7B8A59FC}"/>
    <cellStyle name="Normal 70" xfId="1365" xr:uid="{359FDEF2-BBE6-47A0-8AE7-39EADD77E5F7}"/>
    <cellStyle name="Normal 70 2" xfId="1366" xr:uid="{B766D890-63A3-4F9B-A8BE-001BC075CF6B}"/>
    <cellStyle name="Normal 70 2 2" xfId="1367" xr:uid="{79477D3E-94A7-487E-9E17-C2109745A06A}"/>
    <cellStyle name="Normal 70 3" xfId="1368" xr:uid="{7B694D9A-3968-4BE5-AB96-64C60697C045}"/>
    <cellStyle name="Normal 71" xfId="1369" xr:uid="{E6989D08-DFAF-4D53-A795-0B32D3BB1EDC}"/>
    <cellStyle name="Normal 71 2" xfId="1370" xr:uid="{553BDE55-DE1A-47CE-AF97-8E1A07881601}"/>
    <cellStyle name="Normal 71 2 2" xfId="1371" xr:uid="{F6B3B682-8765-4069-B968-978A01D484BB}"/>
    <cellStyle name="Normal 71 3" xfId="1372" xr:uid="{629EF836-8516-4B7C-B5F7-06DDE5898F2C}"/>
    <cellStyle name="Normal 72" xfId="1373" xr:uid="{F4448083-96EA-42F0-B43D-B46AAFB7F21A}"/>
    <cellStyle name="Normal 72 2" xfId="1374" xr:uid="{B548C4B1-94EC-4315-BBD0-3AA539DC7FF8}"/>
    <cellStyle name="Normal 72 2 2" xfId="1375" xr:uid="{AA41DA32-F48C-4825-A806-6EBB72FF6608}"/>
    <cellStyle name="Normal 72 3" xfId="1376" xr:uid="{4C3530C3-EB4C-4FF3-9B0D-3EC346ADBD55}"/>
    <cellStyle name="Normal 73" xfId="1377" xr:uid="{F4F2F66D-961A-42FF-ADBA-9C706C12F975}"/>
    <cellStyle name="Normal 73 2" xfId="1378" xr:uid="{9531A1B4-5B44-45E9-A73B-23F1131E24B7}"/>
    <cellStyle name="Normal 73 2 2" xfId="1379" xr:uid="{20110EB3-5AA4-4DC3-9D9F-3FE703BF32A4}"/>
    <cellStyle name="Normal 73 3" xfId="1380" xr:uid="{97F95D47-E4B0-48E4-B966-2CE183BFBDEF}"/>
    <cellStyle name="Normal 74" xfId="1381" xr:uid="{B9BC461E-BC5A-4462-AB31-FFBCB68D6D48}"/>
    <cellStyle name="Normal 74 2" xfId="1382" xr:uid="{F2308BE5-D591-4F9F-8A4B-7ECB9A107280}"/>
    <cellStyle name="Normal 74 2 2" xfId="1383" xr:uid="{03E01DFA-C0F8-4A9F-AFEF-32D63B010700}"/>
    <cellStyle name="Normal 74 3" xfId="1384" xr:uid="{CC664E00-56F6-43DF-A4DC-BB5701E3ADDB}"/>
    <cellStyle name="Normal 75" xfId="1385" xr:uid="{0D662F28-B901-412E-9A11-336E15D5A241}"/>
    <cellStyle name="Normal 75 2" xfId="1386" xr:uid="{670DDE7D-4D3C-4526-9E7F-513ED1C2A833}"/>
    <cellStyle name="Normal 75 2 2" xfId="1387" xr:uid="{61C39F5D-C7D3-4851-B7D9-93F04444FBCA}"/>
    <cellStyle name="Normal 75 3" xfId="1388" xr:uid="{A1DB4B1D-025D-4DA0-899D-7D72A99617E2}"/>
    <cellStyle name="Normal 76" xfId="1389" xr:uid="{FE99BDC6-D590-4262-8F96-232BF8E9876A}"/>
    <cellStyle name="Normal 76 2" xfId="1390" xr:uid="{76C8F4AF-D3BF-49B0-A502-EF46687F871B}"/>
    <cellStyle name="Normal 76 2 2" xfId="1391" xr:uid="{238CAEBC-D8F3-405D-9A25-A92DC07A3D2A}"/>
    <cellStyle name="Normal 76 3" xfId="1392" xr:uid="{3B157A97-F110-4DE2-B1CF-13CE0D0E1F0B}"/>
    <cellStyle name="Normal 77" xfId="1393" xr:uid="{5B8970CA-4FB2-4BE7-A3D8-E855C837C049}"/>
    <cellStyle name="Normal 77 2" xfId="1394" xr:uid="{174CCF09-00C2-4B6C-A37C-B60F05D96B3F}"/>
    <cellStyle name="Normal 77 2 2" xfId="1395" xr:uid="{61D5351C-0CBD-42B4-B0C3-4B83F4FF9365}"/>
    <cellStyle name="Normal 77 3" xfId="1396" xr:uid="{2451EF7C-9234-4FB7-B42C-6FB10AD3B783}"/>
    <cellStyle name="Normal 78" xfId="1397" xr:uid="{3A702E44-4AFD-4680-B3DD-83FBED0FE08C}"/>
    <cellStyle name="Normal 78 2" xfId="1398" xr:uid="{1226252D-CC80-4954-AD61-0A818277855D}"/>
    <cellStyle name="Normal 78 2 2" xfId="1399" xr:uid="{520A009A-6379-41FC-AB63-F68C953B677D}"/>
    <cellStyle name="Normal 78 3" xfId="1400" xr:uid="{0436DFAD-7717-4737-933F-B9CD7AEA1E82}"/>
    <cellStyle name="Normal 79" xfId="1401" xr:uid="{A7E5F9EE-F46F-49A0-A403-F001C6333182}"/>
    <cellStyle name="Normal 79 2" xfId="1402" xr:uid="{F4C4105B-F8C0-4C60-BE44-5A43C9C57A5B}"/>
    <cellStyle name="Normal 79 2 2" xfId="1403" xr:uid="{6245C305-889F-46AD-AC23-310B76500AB9}"/>
    <cellStyle name="Normal 79 3" xfId="1404" xr:uid="{6CA1285C-FD23-4A4F-87C2-06CDE208CE2F}"/>
    <cellStyle name="Normal 8" xfId="1405" xr:uid="{B69BD3B4-2DC7-42C8-88F7-24FAB0537005}"/>
    <cellStyle name="Normal 8 2" xfId="1406" xr:uid="{28916FEA-1175-477A-B5F7-3070F3AB4F63}"/>
    <cellStyle name="Normal 8 3" xfId="1407" xr:uid="{F708DE08-8526-4CBE-8F7C-4FAE5C5C4137}"/>
    <cellStyle name="Normal 8 3 2" xfId="1408" xr:uid="{ED62580F-686D-465C-A7C5-BDA1BB43B344}"/>
    <cellStyle name="Normal 8 3 2 2" xfId="1409" xr:uid="{DC41DC44-A371-4F06-8880-B426928692AB}"/>
    <cellStyle name="Normal 8 3 3" xfId="1410" xr:uid="{B7830698-4AD0-45C9-9F5F-184C95F3254F}"/>
    <cellStyle name="Normal 8 4" xfId="1411" xr:uid="{1E9B4625-4774-49E3-8230-72DAD0EAFEF1}"/>
    <cellStyle name="Normal 8 4 2" xfId="1412" xr:uid="{F0B177D6-073D-4C36-B4FB-E0E7198DB486}"/>
    <cellStyle name="Normal 8 5" xfId="1413" xr:uid="{E82A21DB-09DF-4B7A-896E-E926F595EED8}"/>
    <cellStyle name="Normal 8 6" xfId="3069" xr:uid="{A91CFA97-5A0F-4298-90EC-F0290D4A1059}"/>
    <cellStyle name="Normal 80" xfId="1414" xr:uid="{E8F1458B-5688-4C6E-972D-B24A63D89BBA}"/>
    <cellStyle name="Normal 80 2" xfId="1415" xr:uid="{5B95B282-466F-413B-B6A7-608353A1D980}"/>
    <cellStyle name="Normal 80 2 2" xfId="1416" xr:uid="{D20A91CD-284F-4C77-8CAB-5F7C407B3F1A}"/>
    <cellStyle name="Normal 80 3" xfId="1417" xr:uid="{B41738FE-EE23-4183-852D-ECE1D79D887D}"/>
    <cellStyle name="Normal 81" xfId="1418" xr:uid="{7CCF7FAC-B445-4AD3-AE32-33A67BADD62A}"/>
    <cellStyle name="Normal 81 2" xfId="1419" xr:uid="{DC0FC4B5-DAF9-4CBA-B09D-F7B1AC535505}"/>
    <cellStyle name="Normal 81 2 2" xfId="1420" xr:uid="{EE2CF63A-BFA2-4DA2-A898-C137AC34B614}"/>
    <cellStyle name="Normal 81 3" xfId="1421" xr:uid="{FEBC962D-1173-44A3-BF08-DAE80E2FA94A}"/>
    <cellStyle name="Normal 82" xfId="1422" xr:uid="{5EFE9C2C-7F66-47AC-9F5E-40272E84D90A}"/>
    <cellStyle name="Normal 82 2" xfId="1423" xr:uid="{FA2B1E97-FF0F-44F4-94D8-6BF80FCC3EF7}"/>
    <cellStyle name="Normal 82 2 2" xfId="1424" xr:uid="{61D26409-EFBD-4EA1-89E2-2BA7BF21EE6D}"/>
    <cellStyle name="Normal 82 3" xfId="1425" xr:uid="{F356DD43-E8B7-410F-8C40-9C840407BF3F}"/>
    <cellStyle name="Normal 83" xfId="1426" xr:uid="{3E30AE00-005F-4818-9FE1-2695F14608CE}"/>
    <cellStyle name="Normal 83 2" xfId="1427" xr:uid="{771C5911-A710-42BC-AD8F-07126A31737C}"/>
    <cellStyle name="Normal 83 2 2" xfId="1428" xr:uid="{AC9886E6-F5EB-4F5D-A87A-E080A0A6AC0A}"/>
    <cellStyle name="Normal 83 3" xfId="1429" xr:uid="{D0BB942B-557F-46B4-AD42-05CB85852F68}"/>
    <cellStyle name="Normal 84" xfId="1430" xr:uid="{8FB9E431-863D-4A49-A99D-EF036EA72BD6}"/>
    <cellStyle name="Normal 84 2" xfId="1431" xr:uid="{BE778C51-70A1-4DCB-9D7C-F6510EBCA776}"/>
    <cellStyle name="Normal 84 2 2" xfId="1432" xr:uid="{139D5641-92C0-40CA-ACB8-81264F01B708}"/>
    <cellStyle name="Normal 84 3" xfId="1433" xr:uid="{E39F51DB-D629-40EF-BE9E-C5867AC7D028}"/>
    <cellStyle name="Normal 85" xfId="1434" xr:uid="{CB44F13C-A4E4-49D0-B858-AE91CBFDB796}"/>
    <cellStyle name="Normal 85 2" xfId="1435" xr:uid="{665FABC8-D8CA-4A2C-99B3-E103617F7759}"/>
    <cellStyle name="Normal 85 2 2" xfId="1436" xr:uid="{E0C048E4-1C3E-4D77-83A3-992E934E0809}"/>
    <cellStyle name="Normal 85 3" xfId="1437" xr:uid="{25E59B10-FF33-4D20-82C0-A1CD4FE83E59}"/>
    <cellStyle name="Normal 86" xfId="1438" xr:uid="{D1FCBC8E-98C3-4F56-A2A6-E31737FADA1D}"/>
    <cellStyle name="Normal 86 2" xfId="1439" xr:uid="{359F66B1-40FE-415C-B48E-B4962F051F9A}"/>
    <cellStyle name="Normal 86 2 2" xfId="1440" xr:uid="{8477CC20-20E6-4148-AAB0-8483C4D0D18A}"/>
    <cellStyle name="Normal 86 3" xfId="1441" xr:uid="{1BA33122-1177-4F92-9474-A3867F087EC2}"/>
    <cellStyle name="Normal 87" xfId="1442" xr:uid="{33A70461-C115-466E-8C0A-8294C3B353D2}"/>
    <cellStyle name="Normal 87 2" xfId="1443" xr:uid="{F19B881A-243D-4467-9560-8AAEFD08C099}"/>
    <cellStyle name="Normal 87 2 2" xfId="1444" xr:uid="{D5AD6F8C-F187-46DD-A97E-CF67DA1DFB52}"/>
    <cellStyle name="Normal 87 3" xfId="1445" xr:uid="{20F61907-2060-4E22-A7EA-3BB5B05FEA08}"/>
    <cellStyle name="Normal 88" xfId="1446" xr:uid="{BAAA85CC-A434-4157-A11B-AA834443AB5D}"/>
    <cellStyle name="Normal 88 2" xfId="1447" xr:uid="{A8A95F60-1643-46FC-A4E3-1F78F2B689CC}"/>
    <cellStyle name="Normal 88 2 2" xfId="1448" xr:uid="{B8231198-D9E8-46FE-900D-FB6F0EB7CE07}"/>
    <cellStyle name="Normal 88 3" xfId="1449" xr:uid="{756040B9-EBE5-4CBF-A57B-B391CBF65B09}"/>
    <cellStyle name="Normal 89" xfId="1450" xr:uid="{F7452EE5-D510-43A4-8604-670333E95CCB}"/>
    <cellStyle name="Normal 89 2" xfId="1451" xr:uid="{AD47195B-D5B0-4C90-8E8A-83834976BB32}"/>
    <cellStyle name="Normal 89 2 2" xfId="1452" xr:uid="{835D108C-3268-4FB6-8540-82B45344A02F}"/>
    <cellStyle name="Normal 89 3" xfId="1453" xr:uid="{D0850522-B251-445C-AD2D-A83993BB426D}"/>
    <cellStyle name="Normal 9" xfId="1454" xr:uid="{CE5848AA-F23D-4BC3-86E4-2EB8FE110AAC}"/>
    <cellStyle name="Normal 9 2" xfId="3073" xr:uid="{B4C7D6BE-82B3-41DC-A4CD-2F993BA316DE}"/>
    <cellStyle name="Normal 90" xfId="1455" xr:uid="{7483C101-0A6D-45EE-AF6C-7A9AED6FEA87}"/>
    <cellStyle name="Normal 90 2" xfId="1456" xr:uid="{10DD39A6-4FF7-4509-B616-ACF7B9BD91D3}"/>
    <cellStyle name="Normal 90 2 2" xfId="1457" xr:uid="{C0B0AD05-F08D-4FBE-BBA7-583FD10D7680}"/>
    <cellStyle name="Normal 90 3" xfId="1458" xr:uid="{1B14ED20-723F-417B-AB14-4BC1640D88DF}"/>
    <cellStyle name="Normal 91" xfId="1459" xr:uid="{A56F3D6D-84F8-4B73-BB98-B9CDAC9A1D2F}"/>
    <cellStyle name="Normal 91 2" xfId="1460" xr:uid="{89C78E55-B250-47C6-9295-1050DF749F68}"/>
    <cellStyle name="Normal 91 2 2" xfId="1461" xr:uid="{B829C802-E505-4262-BBAA-8277005AD6DF}"/>
    <cellStyle name="Normal 91 3" xfId="1462" xr:uid="{EC2FD09B-C392-4E02-BDF9-87FD2AE070B6}"/>
    <cellStyle name="Normal 92" xfId="1463" xr:uid="{A53948F7-2837-4EC8-B5C4-22F38E2CDA5C}"/>
    <cellStyle name="Normal 92 2" xfId="1464" xr:uid="{23E6A7A4-1621-46EF-B835-B3B505085013}"/>
    <cellStyle name="Normal 92 2 2" xfId="1465" xr:uid="{B677BCB5-05F9-4464-8A38-E0697EE2942F}"/>
    <cellStyle name="Normal 92 3" xfId="1466" xr:uid="{70638EC9-62D0-4D7F-8FC2-76F8FB4D5695}"/>
    <cellStyle name="Normal 93" xfId="1467" xr:uid="{9E53C1F6-2E1D-4D3E-9F2A-7AA402A4CF56}"/>
    <cellStyle name="Normal 93 2" xfId="1468" xr:uid="{6A26046E-8C5B-4D46-8BA5-D8503F1F37EB}"/>
    <cellStyle name="Normal 93 2 2" xfId="1469" xr:uid="{0B14094B-C237-4B54-A7F3-C0843D301E35}"/>
    <cellStyle name="Normal 93 3" xfId="1470" xr:uid="{587FA447-FFC2-475B-8F50-C615BB3FA06E}"/>
    <cellStyle name="Normal 94" xfId="1471" xr:uid="{9B4BBF9C-1A86-4D61-A5D1-40103D52BB4F}"/>
    <cellStyle name="Normal 94 2" xfId="1472" xr:uid="{FB21B851-45A6-4123-A926-6089FDF64896}"/>
    <cellStyle name="Normal 94 2 2" xfId="1473" xr:uid="{A35BC292-963D-402F-B1C0-935689328086}"/>
    <cellStyle name="Normal 94 3" xfId="1474" xr:uid="{35D5D1ED-A5D5-42FE-B485-E007E9BB8F09}"/>
    <cellStyle name="Normal 95" xfId="1475" xr:uid="{2BC334AA-31CE-4959-B2E8-DA5F5D93E40F}"/>
    <cellStyle name="Normal 95 2" xfId="1476" xr:uid="{32635847-6E36-4960-89DA-2A7D1CA2BE38}"/>
    <cellStyle name="Normal 95 2 2" xfId="1477" xr:uid="{6A93E08C-08C0-45A6-955C-E59E076847E6}"/>
    <cellStyle name="Normal 95 3" xfId="1478" xr:uid="{77A8E397-AD3B-447D-9D69-7BA163733D0D}"/>
    <cellStyle name="Normal 96" xfId="1479" xr:uid="{7C8DA6EF-E660-447A-811A-CE420DA18594}"/>
    <cellStyle name="Normal 96 2" xfId="1480" xr:uid="{57037DC8-EFD1-4D58-A578-DE8AEEA32912}"/>
    <cellStyle name="Normal 96 2 2" xfId="1481" xr:uid="{D3367B3F-A4E7-4D00-8C88-FC55336A0D18}"/>
    <cellStyle name="Normal 96 3" xfId="1482" xr:uid="{CEA67DD3-5764-45DD-B954-A1A6DAF71D07}"/>
    <cellStyle name="Normal 97" xfId="1483" xr:uid="{10097BC6-C2AC-4138-852A-CCD7FD0DDA09}"/>
    <cellStyle name="Normal 97 2" xfId="1484" xr:uid="{889B5495-CB38-46D4-AA66-408B5F2D3E5C}"/>
    <cellStyle name="Normal 97 2 2" xfId="1485" xr:uid="{FED5946A-58B8-44AA-9CCC-D0EDA6AEAB12}"/>
    <cellStyle name="Normal 97 3" xfId="1486" xr:uid="{BBFE2DFE-8FA3-4C8E-91FF-EBB692F3BA3F}"/>
    <cellStyle name="Normal 98" xfId="1487" xr:uid="{18B45C78-F1E9-4C60-90B3-5E618DC47171}"/>
    <cellStyle name="Normal 98 2" xfId="1488" xr:uid="{1C44CD02-1D88-46EE-AA1F-65A6482947E7}"/>
    <cellStyle name="Normal 98 2 2" xfId="1489" xr:uid="{5FA7D79A-3934-4F8E-9457-EAF62C0194A1}"/>
    <cellStyle name="Normal 98 3" xfId="1490" xr:uid="{04254B2A-5D8C-413B-A07E-55142FD21BEA}"/>
    <cellStyle name="Normal 99" xfId="1491" xr:uid="{5DD9357A-4278-4DBD-98EE-A09B31C4A031}"/>
    <cellStyle name="Normal 99 2" xfId="1492" xr:uid="{81647896-FE43-470C-9ED2-CC54FC6EA622}"/>
    <cellStyle name="Normal 99 2 2" xfId="1493" xr:uid="{B8760B87-785F-49F4-AF31-001A26D43DF3}"/>
    <cellStyle name="Normal 99 3" xfId="1494" xr:uid="{50820B63-1DC0-4C17-BB6F-3B895532EF4D}"/>
    <cellStyle name="Note 2" xfId="1495" xr:uid="{EA74C7DE-4740-4101-84C5-D536F571A17A}"/>
    <cellStyle name="Note 2 2" xfId="1496" xr:uid="{025E712A-5E52-470D-B363-C05AB1314430}"/>
    <cellStyle name="Note 2 2 2" xfId="3004" xr:uid="{614B9AAF-BBE8-4E91-B5BE-7D1F5EEEB2EA}"/>
    <cellStyle name="Note 2 2 2 2" xfId="3026" xr:uid="{DE602373-C46C-42AA-8F20-8BAAFD5F2D80}"/>
    <cellStyle name="Note 2 2 3" xfId="3008" xr:uid="{63AD3C5E-96C8-4297-A15E-4A4B26E8A455}"/>
    <cellStyle name="Note 2 2 3 2" xfId="3028" xr:uid="{5A800E04-8C36-4C03-8BCB-B384AA27DC84}"/>
    <cellStyle name="Note 2 2 4" xfId="2883" xr:uid="{4DB1A1B7-1102-4071-8CE5-B822E35BE1A2}"/>
    <cellStyle name="Note 2 2 4 2" xfId="3021" xr:uid="{37DC5365-F5C0-4E53-8C4F-54ECF2C64592}"/>
    <cellStyle name="Note 2 3" xfId="1497" xr:uid="{BF3EEC4E-FABB-4620-8A4F-8E4AA4E46547}"/>
    <cellStyle name="Note 2 3 2" xfId="2377" xr:uid="{D256D0A9-0FD8-4317-A735-4E6A3042BB0A}"/>
    <cellStyle name="Note 2 3 3" xfId="2988" xr:uid="{C5839F1C-AD3D-40A3-83CC-76B69FC28CC8}"/>
    <cellStyle name="Note 2 4" xfId="2376" xr:uid="{2C16266F-5529-4ABC-838C-E6069A30A468}"/>
    <cellStyle name="Note 2 5" xfId="2882" xr:uid="{41ADBF74-CC73-408D-941F-57EC03E2479E}"/>
    <cellStyle name="Note 3" xfId="1498" xr:uid="{1858A0D9-489C-47AE-8F41-8F91CC3FCA29}"/>
    <cellStyle name="Note 3 2" xfId="3005" xr:uid="{D854612A-008D-4458-9987-7EBA9F2246D3}"/>
    <cellStyle name="Note 3 2 2" xfId="3027" xr:uid="{146DEFE0-C942-43D5-A798-C0FA101A91FB}"/>
    <cellStyle name="Note 3 3" xfId="3009" xr:uid="{C90E8914-9C9E-4498-A38D-5ADD73794BB5}"/>
    <cellStyle name="Note 3 3 2" xfId="3029" xr:uid="{AF2BAA69-C097-4AAE-AC9E-F259453287A5}"/>
    <cellStyle name="Note 3 4" xfId="2884" xr:uid="{D1E6BBF8-B812-4862-BB06-02DCF2FE7237}"/>
    <cellStyle name="Note 3 4 2" xfId="3022" xr:uid="{9238016C-0972-48E8-96FC-421DC2C97C62}"/>
    <cellStyle name="Output 2" xfId="1499" xr:uid="{AB275678-1665-4716-9E28-025404508C8B}"/>
    <cellStyle name="Output 2 2" xfId="3006" xr:uid="{7FA30873-814F-46E3-B0FF-E68A82945369}"/>
    <cellStyle name="Output 2 3" xfId="3010" xr:uid="{56253285-5004-4FA3-8D90-8E134CD5AF1D}"/>
    <cellStyle name="Output 2 4" xfId="2885" xr:uid="{9AA17E2D-798A-4044-AEB7-8008A764369E}"/>
    <cellStyle name="Output 3" xfId="1500" xr:uid="{7D85DDB0-C9AF-4D6D-B463-AA56C0C2EA24}"/>
    <cellStyle name="Output 3 2" xfId="3007" xr:uid="{A3CD8614-A987-45F7-A982-953B64BD2A17}"/>
    <cellStyle name="Output 3 3" xfId="3011" xr:uid="{6FC5C3A3-C24B-43C8-8116-89E4516086FF}"/>
    <cellStyle name="Output 3 4" xfId="2886" xr:uid="{FE429440-58F0-4D67-BE10-6F802C9A5669}"/>
    <cellStyle name="per.style" xfId="1501" xr:uid="{291A009B-7F85-4049-946B-63E53C846762}"/>
    <cellStyle name="Percent" xfId="2" builtinId="5"/>
    <cellStyle name="Percent [2]" xfId="1503" xr:uid="{2DB43A79-5E61-4640-876D-CDA468321E36}"/>
    <cellStyle name="Percent 10" xfId="1504" xr:uid="{8D41EF32-0B6A-42B8-B150-A5E4F3E22CD4}"/>
    <cellStyle name="Percent 100" xfId="1505" xr:uid="{8888B36A-3836-4061-83D0-A71F202B43CF}"/>
    <cellStyle name="Percent 100 2" xfId="2379" xr:uid="{7EF50FC3-81DF-440D-8708-405535DE28C4}"/>
    <cellStyle name="Percent 100 3" xfId="2887" xr:uid="{AFAB7C37-57AB-44B0-AC14-3455BFD6467D}"/>
    <cellStyle name="Percent 101" xfId="1506" xr:uid="{AFE8A045-D108-402A-9B0B-AB50CF15FFE2}"/>
    <cellStyle name="Percent 101 2" xfId="2380" xr:uid="{9AD2196D-7660-419A-86B8-3ABF31B97BF5}"/>
    <cellStyle name="Percent 102" xfId="1507" xr:uid="{6C4358BB-4AAC-4564-B3C3-9AE8E5F11347}"/>
    <cellStyle name="Percent 102 2" xfId="2381" xr:uid="{7F7BE832-3AC3-4C51-9C96-4F9074AC5AD6}"/>
    <cellStyle name="Percent 102 3" xfId="2888" xr:uid="{8417CC89-ED17-4C7C-8ED5-6AD0F6071496}"/>
    <cellStyle name="Percent 103" xfId="1508" xr:uid="{75761C97-93A8-49E3-BCB9-4856456BDCA4}"/>
    <cellStyle name="Percent 103 2" xfId="2382" xr:uid="{882572F9-A96B-49A4-946E-B435E7BF9BC4}"/>
    <cellStyle name="Percent 103 3" xfId="2889" xr:uid="{A8833566-9DE8-4279-85B6-D52B0D961FCB}"/>
    <cellStyle name="Percent 104" xfId="1509" xr:uid="{CF81E815-71A9-41A4-8283-8A82BDCF21EB}"/>
    <cellStyle name="Percent 104 2" xfId="2383" xr:uid="{9C399D94-C06A-4B67-8245-177BD838BBE5}"/>
    <cellStyle name="Percent 104 3" xfId="2890" xr:uid="{258E4F3B-5204-4B3C-9706-48C7A2F14905}"/>
    <cellStyle name="Percent 105" xfId="1510" xr:uid="{6BCBC5A8-F6C4-4AF8-B539-41EB487C5B6D}"/>
    <cellStyle name="Percent 105 2" xfId="2384" xr:uid="{1B863A2F-1612-422A-8703-B236BF6E74DA}"/>
    <cellStyle name="Percent 105 3" xfId="2891" xr:uid="{DAA05271-D1E0-4386-A345-FC05689D55E0}"/>
    <cellStyle name="Percent 106" xfId="1511" xr:uid="{6EF822D1-5891-4672-A2C8-52C695F0F7B9}"/>
    <cellStyle name="Percent 106 2" xfId="2385" xr:uid="{1DB3F103-71F5-4169-87FD-3E4FE78AEAE2}"/>
    <cellStyle name="Percent 106 3" xfId="2892" xr:uid="{8EADD8D7-53B0-4342-B786-0480BCAF82AD}"/>
    <cellStyle name="Percent 107" xfId="1512" xr:uid="{8A89AEDF-96B6-4B4F-A561-656B925DECD8}"/>
    <cellStyle name="Percent 107 2" xfId="2386" xr:uid="{C82484B7-CC05-468B-AFFA-D84FF9F4B26E}"/>
    <cellStyle name="Percent 107 3" xfId="2893" xr:uid="{3AC7F3FE-17E6-4836-A862-D6FE6D061B71}"/>
    <cellStyle name="Percent 108" xfId="1513" xr:uid="{164CAF1A-0584-4B23-AF1A-1BF18F36A4E7}"/>
    <cellStyle name="Percent 108 2" xfId="2387" xr:uid="{FDEA7804-B637-4C79-86EB-600E8AE79467}"/>
    <cellStyle name="Percent 108 3" xfId="2894" xr:uid="{A8065AD4-4CB3-41D6-8058-D3424C6D655E}"/>
    <cellStyle name="Percent 109" xfId="1514" xr:uid="{FACF4A6A-D89A-4282-91BC-7F68863C08BB}"/>
    <cellStyle name="Percent 109 2" xfId="2388" xr:uid="{F3202155-9651-43B6-BD69-42C700DBC1B8}"/>
    <cellStyle name="Percent 109 3" xfId="2895" xr:uid="{ACDDC116-D5BF-4DF9-B5EE-BB9307B4DF6D}"/>
    <cellStyle name="Percent 11" xfId="1515" xr:uid="{B173A2B2-13BD-4A15-887D-070B255F7CF5}"/>
    <cellStyle name="Percent 110" xfId="1516" xr:uid="{93E49E35-8157-4BA8-8BE1-6ED9DA80EC6D}"/>
    <cellStyle name="Percent 110 2" xfId="2389" xr:uid="{B5110F07-9290-44AC-A6ED-242BA6165B2D}"/>
    <cellStyle name="Percent 110 3" xfId="2896" xr:uid="{B3E64124-9B05-4720-A810-B46774ED297A}"/>
    <cellStyle name="Percent 111" xfId="1517" xr:uid="{A9C5052D-882A-49DD-8708-078B8CE714FB}"/>
    <cellStyle name="Percent 111 2" xfId="2390" xr:uid="{76981D0A-B969-40FE-A141-1F18ECA2F6D0}"/>
    <cellStyle name="Percent 111 3" xfId="2897" xr:uid="{AFAA22E3-C0B8-4183-9948-016E631D9580}"/>
    <cellStyle name="Percent 112" xfId="1518" xr:uid="{A0E6D44F-166B-4410-9E53-B55AC22C63E6}"/>
    <cellStyle name="Percent 112 2" xfId="2391" xr:uid="{1A46541B-77EA-489B-9034-42EC5CF2E326}"/>
    <cellStyle name="Percent 112 3" xfId="2898" xr:uid="{6C95EC62-BF41-4A58-9CF3-4F244E092EF6}"/>
    <cellStyle name="Percent 113" xfId="1519" xr:uid="{09104FCC-E915-4079-87A3-A22E5EFDF33C}"/>
    <cellStyle name="Percent 113 2" xfId="2392" xr:uid="{97E9FDE6-A7B0-47FD-87B3-C01D29BFA385}"/>
    <cellStyle name="Percent 113 3" xfId="2899" xr:uid="{888C1F4A-7247-4D0C-9183-2C8A6B194DB6}"/>
    <cellStyle name="Percent 114" xfId="1520" xr:uid="{005612D2-7FBD-423A-9F82-20EFA0BF5E01}"/>
    <cellStyle name="Percent 114 2" xfId="2393" xr:uid="{881A506E-18FD-4688-92A3-57C4765409BD}"/>
    <cellStyle name="Percent 114 3" xfId="2900" xr:uid="{C853A9C0-0D02-439F-B62E-223B2B37BC57}"/>
    <cellStyle name="Percent 115" xfId="1521" xr:uid="{0E7D17C8-AB57-4BE9-8CA9-A936F38C01E3}"/>
    <cellStyle name="Percent 115 2" xfId="2394" xr:uid="{4B5A6FA5-291A-4B4E-A2E2-3347779FE962}"/>
    <cellStyle name="Percent 115 3" xfId="2901" xr:uid="{A03B3952-6A95-4A39-95B1-7EF59CBFD121}"/>
    <cellStyle name="Percent 116" xfId="1522" xr:uid="{8702B754-FBFA-4BCF-A3D2-3684F3142998}"/>
    <cellStyle name="Percent 116 2" xfId="2395" xr:uid="{2E67A231-B476-4AE0-98FA-CA81737D4A4C}"/>
    <cellStyle name="Percent 116 3" xfId="2902" xr:uid="{56F08F61-C68F-49CC-927C-3E4EFA2DD824}"/>
    <cellStyle name="Percent 117" xfId="1523" xr:uid="{5167158E-AC23-4A70-BD58-DBCA6BA9405F}"/>
    <cellStyle name="Percent 117 2" xfId="2396" xr:uid="{BD0B887B-4AAE-426C-9C2C-9725891C50D3}"/>
    <cellStyle name="Percent 117 3" xfId="2903" xr:uid="{397C611A-D6CA-42FA-BA22-F820DFE2414E}"/>
    <cellStyle name="Percent 118" xfId="1524" xr:uid="{E6C007EF-CD11-4A2A-997F-5A6A787FFD84}"/>
    <cellStyle name="Percent 118 2" xfId="2397" xr:uid="{D5E62C53-8B0B-4D55-BBEC-5AD82E9A43FC}"/>
    <cellStyle name="Percent 118 3" xfId="2904" xr:uid="{9FD4F254-1F91-49A4-A3D9-AB3FA1670493}"/>
    <cellStyle name="Percent 119" xfId="1525" xr:uid="{E921B8BF-5BDB-4C6F-8ADD-99B5F034F14D}"/>
    <cellStyle name="Percent 119 2" xfId="2398" xr:uid="{2081E19D-F021-4B36-BC12-5DD3D8F14E82}"/>
    <cellStyle name="Percent 119 3" xfId="2905" xr:uid="{6A800F2F-3A5D-4992-BBC4-6DD22C70CC36}"/>
    <cellStyle name="Percent 12" xfId="1526" xr:uid="{45DD402B-672A-447A-A665-D2A39ABB0570}"/>
    <cellStyle name="Percent 120" xfId="1527" xr:uid="{7C19077A-56C9-4AAB-AB5A-D2C9155412A2}"/>
    <cellStyle name="Percent 120 2" xfId="2399" xr:uid="{A5DAFF18-99AB-426F-BBD9-9F23C8A7604D}"/>
    <cellStyle name="Percent 120 3" xfId="2906" xr:uid="{1815C626-DBE2-4333-A2A2-F0153C72FBFA}"/>
    <cellStyle name="Percent 121" xfId="1528" xr:uid="{58C6C6EC-571C-4A60-9365-03B830D42970}"/>
    <cellStyle name="Percent 121 2" xfId="2400" xr:uid="{845EC179-75DA-4920-B3A5-F23DD76D805E}"/>
    <cellStyle name="Percent 121 3" xfId="2907" xr:uid="{77F1BD70-A4A4-4822-8465-B42DD61EDD81}"/>
    <cellStyle name="Percent 122" xfId="1529" xr:uid="{AB91F295-F46A-47FC-BAEB-447D436C86F6}"/>
    <cellStyle name="Percent 122 2" xfId="2401" xr:uid="{C9EF1B13-0D1F-428E-943A-01397B1943E6}"/>
    <cellStyle name="Percent 122 3" xfId="2908" xr:uid="{A0433089-59AA-480F-BFCE-74851FFD5CC8}"/>
    <cellStyle name="Percent 123" xfId="1530" xr:uid="{671E3B1A-8772-4330-9C52-3079C0818203}"/>
    <cellStyle name="Percent 123 2" xfId="2402" xr:uid="{BD6DDA61-D530-4917-89C7-863217860925}"/>
    <cellStyle name="Percent 123 3" xfId="2909" xr:uid="{61F18F34-0691-435F-9096-C1C8ACE29B80}"/>
    <cellStyle name="Percent 124" xfId="1531" xr:uid="{3766E8B1-49F2-4D42-8428-8E59655D9917}"/>
    <cellStyle name="Percent 124 2" xfId="2403" xr:uid="{C0E3B7E6-E4E4-4E40-B561-C85BF0F7B040}"/>
    <cellStyle name="Percent 124 3" xfId="2910" xr:uid="{A8F11349-D8AB-4F61-9DF1-95DDE7A984BB}"/>
    <cellStyle name="Percent 125" xfId="1532" xr:uid="{7B0AEE29-8A53-453D-80F7-C9613D3AB562}"/>
    <cellStyle name="Percent 125 2" xfId="2404" xr:uid="{D44A328A-B9E8-4D0E-AB31-CA87CC664423}"/>
    <cellStyle name="Percent 125 3" xfId="2911" xr:uid="{9D101F58-2B95-4B3A-A579-8E904BBD0ACB}"/>
    <cellStyle name="Percent 126" xfId="1533" xr:uid="{D6FF44B3-D4C6-43D7-A337-983267EBDFBF}"/>
    <cellStyle name="Percent 126 2" xfId="2405" xr:uid="{D49574BA-F669-4F9C-B964-763CD21DE55C}"/>
    <cellStyle name="Percent 126 3" xfId="2912" xr:uid="{E7BB118C-E5A9-4E6B-851C-96B9708C0D0D}"/>
    <cellStyle name="Percent 127" xfId="1534" xr:uid="{A20CAE97-6DE0-424F-9013-88B9669D2545}"/>
    <cellStyle name="Percent 127 2" xfId="2406" xr:uid="{5DFDB345-7FBA-4B40-A2C9-5E39F90ED2EC}"/>
    <cellStyle name="Percent 127 3" xfId="2913" xr:uid="{41B8D203-4DAF-4E86-AA3D-BDCDDF22BE47}"/>
    <cellStyle name="Percent 128" xfId="1535" xr:uid="{5267AF31-D0E4-4C5A-B775-2BF9224A8935}"/>
    <cellStyle name="Percent 128 2" xfId="2407" xr:uid="{98C642D0-F09C-40A8-A42F-858C1CBFCD6A}"/>
    <cellStyle name="Percent 128 3" xfId="2914" xr:uid="{31B20DAB-B058-48AD-B632-2AD1A1E0F882}"/>
    <cellStyle name="Percent 129" xfId="1536" xr:uid="{9177F45F-DFE4-4570-96C0-D82C9AD8D79F}"/>
    <cellStyle name="Percent 129 2" xfId="2408" xr:uid="{20753D01-6F0C-4D79-A3CB-6AEF2E13824C}"/>
    <cellStyle name="Percent 129 3" xfId="2915" xr:uid="{32CA28D5-C3CF-4C5C-9EB5-3C1F100FF33A}"/>
    <cellStyle name="Percent 13" xfId="1537" xr:uid="{C5A8776B-2F76-47D9-8E22-5AFBA8BB954F}"/>
    <cellStyle name="Percent 130" xfId="1538" xr:uid="{C3AB77B5-76A0-4D83-AB8E-189625462DD1}"/>
    <cellStyle name="Percent 130 2" xfId="2409" xr:uid="{E4138C84-0F73-44CB-A78C-406C6E52BCEC}"/>
    <cellStyle name="Percent 130 3" xfId="2916" xr:uid="{9B4DD773-31CE-484C-BF92-521C9C50B571}"/>
    <cellStyle name="Percent 131" xfId="1539" xr:uid="{72062687-C6D1-46EB-BB2F-41553713F9B8}"/>
    <cellStyle name="Percent 131 2" xfId="2410" xr:uid="{71EE202C-BB63-475D-88EF-ABAFE4CF26E6}"/>
    <cellStyle name="Percent 131 3" xfId="2917" xr:uid="{6334FF42-F09B-46A1-9D2B-9BF7747C7210}"/>
    <cellStyle name="Percent 132" xfId="1540" xr:uid="{1E45F3F1-A52D-42A3-BC84-9DC6D1436700}"/>
    <cellStyle name="Percent 132 2" xfId="2411" xr:uid="{38BE3FB6-89FF-4F13-BF7F-CF877A73EFA8}"/>
    <cellStyle name="Percent 132 3" xfId="2918" xr:uid="{5789EB50-AF8F-480D-99DB-513345C02438}"/>
    <cellStyle name="Percent 133" xfId="1541" xr:uid="{4BEBFD3D-D342-44F2-8695-6909E2204692}"/>
    <cellStyle name="Percent 133 2" xfId="2412" xr:uid="{6CC6E227-4694-4BF5-85D8-172866C0EF08}"/>
    <cellStyle name="Percent 133 3" xfId="2919" xr:uid="{3F713C74-2225-42C4-850D-672B04DF0F5F}"/>
    <cellStyle name="Percent 134" xfId="1542" xr:uid="{19147B6E-B867-469C-8B63-816FACBDE2B6}"/>
    <cellStyle name="Percent 134 2" xfId="2413" xr:uid="{A47E604C-CB55-4546-B1BE-62A7CD1013F1}"/>
    <cellStyle name="Percent 134 3" xfId="2920" xr:uid="{D11D15A2-773D-43C6-8D02-EC86E166AFF8}"/>
    <cellStyle name="Percent 135" xfId="1543" xr:uid="{1853CBA4-15B9-47C0-A9F9-5800A038A408}"/>
    <cellStyle name="Percent 135 2" xfId="2414" xr:uid="{921E0BD7-E448-4D18-82FE-A0E823AF90C7}"/>
    <cellStyle name="Percent 135 3" xfId="2921" xr:uid="{AEAE5FDF-EBD5-4193-BE8A-C79F17ADFDBF}"/>
    <cellStyle name="Percent 136" xfId="1544" xr:uid="{2A8CE3C1-0DAB-4D80-8A42-FC66EDBCA73D}"/>
    <cellStyle name="Percent 136 2" xfId="2415" xr:uid="{642D9A65-C65F-46F7-84EF-960D0D73D522}"/>
    <cellStyle name="Percent 136 3" xfId="2922" xr:uid="{E7C326D5-62AA-437F-A8FA-E73AF36A0FBE}"/>
    <cellStyle name="Percent 137" xfId="1545" xr:uid="{CD3BB2B2-0B3C-4DA2-8AB1-F6561820F4F2}"/>
    <cellStyle name="Percent 137 2" xfId="2416" xr:uid="{AFC094A3-6CD1-4018-8AB9-9BEA246A0738}"/>
    <cellStyle name="Percent 137 3" xfId="2923" xr:uid="{49815C68-9A37-456B-B533-B59A72D678EB}"/>
    <cellStyle name="Percent 138" xfId="1546" xr:uid="{FCC604A4-C376-4D5A-9269-4C369DC5C42E}"/>
    <cellStyle name="Percent 138 2" xfId="2417" xr:uid="{BA742FC0-8E72-4164-BB8C-F82B2B140B79}"/>
    <cellStyle name="Percent 138 3" xfId="2924" xr:uid="{5CBB1273-0C2C-4468-9103-2E603E9DB6A0}"/>
    <cellStyle name="Percent 139" xfId="1547" xr:uid="{D7647519-0B97-4BFC-944F-CC7D8F33ADAD}"/>
    <cellStyle name="Percent 139 2" xfId="2418" xr:uid="{88B1C4C7-B797-42A8-AF81-07C8AD6FF536}"/>
    <cellStyle name="Percent 139 3" xfId="2925" xr:uid="{2D9E9CFE-3BEF-4A7C-AB0C-C8AA764E30D1}"/>
    <cellStyle name="Percent 14" xfId="1548" xr:uid="{73BF2F14-D7DA-4B79-A5BE-A45675F6DC3F}"/>
    <cellStyle name="Percent 140" xfId="1549" xr:uid="{18C0D51C-DE43-4C3D-AC44-05D89D685455}"/>
    <cellStyle name="Percent 141" xfId="1550" xr:uid="{1F8F8BA8-5339-4A8C-9949-A245C77F057E}"/>
    <cellStyle name="Percent 141 2" xfId="2419" xr:uid="{B50429FC-4A8D-446B-9879-EB87D8E705D5}"/>
    <cellStyle name="Percent 141 3" xfId="2926" xr:uid="{E8A82684-122F-47D8-AC15-918ED2E2D59A}"/>
    <cellStyle name="Percent 142" xfId="1551" xr:uid="{90A6A620-0002-446E-99E0-120AA2C38E8C}"/>
    <cellStyle name="Percent 142 2" xfId="2420" xr:uid="{8FB1D20B-5801-4304-93BC-D3EFCBD559BA}"/>
    <cellStyle name="Percent 143" xfId="1552" xr:uid="{0BE32CB2-9452-4EB4-A8F3-B54B0DF3A5F5}"/>
    <cellStyle name="Percent 143 2" xfId="2421" xr:uid="{5153C7CD-B00F-498C-9F9C-239DA8230751}"/>
    <cellStyle name="Percent 144" xfId="1553" xr:uid="{EC380F40-BEB2-4167-A08A-DFD6CA231219}"/>
    <cellStyle name="Percent 144 2" xfId="2422" xr:uid="{847911D4-FE54-4705-8C11-3D9C21BA5663}"/>
    <cellStyle name="Percent 145" xfId="1554" xr:uid="{569D4641-9328-45B3-A3AA-EB4F34A51213}"/>
    <cellStyle name="Percent 145 2" xfId="2423" xr:uid="{0C8AE78F-15E5-46FF-8566-7909CDD82D81}"/>
    <cellStyle name="Percent 146" xfId="1555" xr:uid="{86E271A7-49AF-4E04-9598-ED3CA4D12F56}"/>
    <cellStyle name="Percent 146 2" xfId="2424" xr:uid="{86AB7C4A-979E-4133-8570-D7E4EEAB244A}"/>
    <cellStyle name="Percent 147" xfId="1502" xr:uid="{0D9CD481-72CE-4DC0-81C1-1027C0A1B634}"/>
    <cellStyle name="Percent 148" xfId="2378" xr:uid="{9A2259C3-58F8-41E3-8F2D-D11C447E39D4}"/>
    <cellStyle name="Percent 149" xfId="3076" xr:uid="{3F6CFDFB-8DF3-4486-BB88-DB0EDE05A32E}"/>
    <cellStyle name="Percent 15" xfId="1556" xr:uid="{3FADFBE1-7910-4C50-9077-2C0669C101A2}"/>
    <cellStyle name="Percent 150" xfId="3081" xr:uid="{1E840954-52C9-401B-A2B3-3101DB011709}"/>
    <cellStyle name="Percent 151" xfId="3084" xr:uid="{363DF1F6-0626-4EE5-A762-9DC0CEDDB4DF}"/>
    <cellStyle name="Percent 152" xfId="3085" xr:uid="{5CEED1D8-D170-4817-AB10-58AD468AF973}"/>
    <cellStyle name="Percent 16" xfId="1557" xr:uid="{FFC28956-E777-4232-8550-1B808474F4C8}"/>
    <cellStyle name="Percent 17" xfId="1558" xr:uid="{FD266743-8BFC-4802-A31A-A1225CE6F20F}"/>
    <cellStyle name="Percent 18" xfId="1559" xr:uid="{1525CBEE-98A7-4A9A-9790-5F45CBFC951E}"/>
    <cellStyle name="Percent 19" xfId="1560" xr:uid="{FAD6BB2A-9087-40BE-B423-99F80583F0DA}"/>
    <cellStyle name="Percent 2" xfId="1561" xr:uid="{42B51197-E445-48E1-8AAC-DB53EEB8FCAA}"/>
    <cellStyle name="Percent 2 10" xfId="1562" xr:uid="{A24B8019-4277-49DF-8BB0-F6D04FC5DC88}"/>
    <cellStyle name="Percent 2 10 2" xfId="2425" xr:uid="{40004DEF-C431-413F-A26F-378694B0DE18}"/>
    <cellStyle name="Percent 2 10 3" xfId="2927" xr:uid="{E2461355-69B6-4BFF-8606-DB0D3EE30816}"/>
    <cellStyle name="Percent 2 11" xfId="1563" xr:uid="{B86D724C-E3F6-4BFC-BD2C-FB123931203C}"/>
    <cellStyle name="Percent 2 11 2" xfId="2426" xr:uid="{0B19C7C6-E8EE-4B81-A364-C7E553320BB2}"/>
    <cellStyle name="Percent 2 2" xfId="1564" xr:uid="{E29FB53F-D766-44E3-B5FE-C93E17E99E42}"/>
    <cellStyle name="Percent 2 2 2" xfId="1565" xr:uid="{872FE4D8-7533-4D4D-B1F8-B32C4BBFC877}"/>
    <cellStyle name="Percent 2 2 2 2" xfId="1566" xr:uid="{0D7F86DD-4C06-4296-A88C-DDAB5B0B0742}"/>
    <cellStyle name="Percent 2 2 2 3" xfId="1567" xr:uid="{E59A25DB-7A11-4280-97A8-41F6897A5FA4}"/>
    <cellStyle name="Percent 2 2 3" xfId="1568" xr:uid="{E5A8CBD8-0A46-4783-AB87-EDC7EBCCC11D}"/>
    <cellStyle name="Percent 2 2 4" xfId="1569" xr:uid="{1EF55DC4-4536-43B3-8AF6-97CEE63E14E2}"/>
    <cellStyle name="Percent 2 2 4 2" xfId="2427" xr:uid="{C3806B80-2B37-49E0-BBD4-CAC6B221F69E}"/>
    <cellStyle name="Percent 2 2 4 3" xfId="2928" xr:uid="{B901AC0E-1015-4486-91B9-26AD50C43473}"/>
    <cellStyle name="Percent 2 2 5" xfId="1570" xr:uid="{EBB17A01-48C6-49F5-856C-56C592B43E40}"/>
    <cellStyle name="Percent 2 2 6" xfId="1571" xr:uid="{9255C1AB-36B0-4BC8-8FE7-C14CFE56971A}"/>
    <cellStyle name="Percent 2 3" xfId="1572" xr:uid="{5B73E895-B051-4DE5-A994-746FDB3185C6}"/>
    <cellStyle name="Percent 2 3 2" xfId="1573" xr:uid="{B3D3EDC2-F41C-4CB1-BDEE-EE8DC81A67F5}"/>
    <cellStyle name="Percent 2 3 2 2" xfId="1574" xr:uid="{8616AF95-9EA4-4EAF-9F2B-BF2EDF021B8E}"/>
    <cellStyle name="Percent 2 3 2 2 2" xfId="1575" xr:uid="{B531FA02-8657-4C99-8F5A-D4C39191D63A}"/>
    <cellStyle name="Percent 2 3 2 2 2 2" xfId="1576" xr:uid="{0A845D15-12BE-4304-9B28-5027A5A29251}"/>
    <cellStyle name="Percent 2 3 2 2 2 2 2" xfId="2432" xr:uid="{C97CCA96-F5CC-4E55-8DA1-5258A52FE359}"/>
    <cellStyle name="Percent 2 3 2 2 2 3" xfId="2431" xr:uid="{0AF2E7B5-9EB4-4AB4-82F7-151A6ACD1BC5}"/>
    <cellStyle name="Percent 2 3 2 2 3" xfId="1577" xr:uid="{643ADEFB-01E0-454C-9B77-41447433E85D}"/>
    <cellStyle name="Percent 2 3 2 2 3 2" xfId="2433" xr:uid="{FB8600B7-6F44-4806-8755-B782298E1AAE}"/>
    <cellStyle name="Percent 2 3 2 2 4" xfId="2430" xr:uid="{0CB32467-8CB4-47B9-ACA4-5B7A8469BDE4}"/>
    <cellStyle name="Percent 2 3 2 3" xfId="1578" xr:uid="{2629E549-3116-412F-8957-A09472023C4D}"/>
    <cellStyle name="Percent 2 3 2 3 2" xfId="1579" xr:uid="{9A3FBE0B-61FC-4A42-8B1D-4FA7A58EEC01}"/>
    <cellStyle name="Percent 2 3 2 3 2 2" xfId="1580" xr:uid="{FCD4545E-5AB2-4DEC-B337-A3E694AD6D22}"/>
    <cellStyle name="Percent 2 3 2 3 2 2 2" xfId="2436" xr:uid="{3865803D-20D5-430D-AA09-A71AFD36CC73}"/>
    <cellStyle name="Percent 2 3 2 3 2 3" xfId="2435" xr:uid="{853A8CD6-AECA-48DC-8361-A2F58D4D00DC}"/>
    <cellStyle name="Percent 2 3 2 3 3" xfId="1581" xr:uid="{D77D2464-174A-4322-BA10-BDDD33806D80}"/>
    <cellStyle name="Percent 2 3 2 3 3 2" xfId="2437" xr:uid="{95497AA0-F140-432F-883C-EA8AED76A065}"/>
    <cellStyle name="Percent 2 3 2 3 4" xfId="2434" xr:uid="{591BBAC2-E96B-4B06-BDC9-76485ED40693}"/>
    <cellStyle name="Percent 2 3 2 4" xfId="1582" xr:uid="{B96A33B9-B60F-45D5-BAD8-CD33EA48B805}"/>
    <cellStyle name="Percent 2 3 2 4 2" xfId="2438" xr:uid="{EDCF70DD-E56A-45D9-A568-0853B26F9C3F}"/>
    <cellStyle name="Percent 2 3 2 5" xfId="2429" xr:uid="{E3E8CCFE-8900-4CD1-9226-A657D83F7D98}"/>
    <cellStyle name="Percent 2 3 3" xfId="1583" xr:uid="{A4DAA7A7-FA48-4791-8BDC-596E53B44FBA}"/>
    <cellStyle name="Percent 2 3 3 2" xfId="1584" xr:uid="{26D87BBF-5895-4DBD-B546-ADA22F82511B}"/>
    <cellStyle name="Percent 2 3 3 2 2" xfId="2440" xr:uid="{244915E0-D57C-4803-B46A-CC4136EC6EFC}"/>
    <cellStyle name="Percent 2 3 3 3" xfId="2439" xr:uid="{48CD473D-EB39-4092-967A-BB71A62CC7B8}"/>
    <cellStyle name="Percent 2 3 4" xfId="1585" xr:uid="{1704D86F-9702-4B0D-88D5-F59D45F74CBF}"/>
    <cellStyle name="Percent 2 3 4 2" xfId="1586" xr:uid="{8BE0F120-BEBE-4995-805B-FC7EFE1FBFB9}"/>
    <cellStyle name="Percent 2 3 4 2 2" xfId="2442" xr:uid="{773E305A-C8EE-482D-A6B5-DA0FA5A0E371}"/>
    <cellStyle name="Percent 2 3 4 3" xfId="2441" xr:uid="{420E3374-AB20-4E10-923D-56B658398645}"/>
    <cellStyle name="Percent 2 3 5" xfId="1587" xr:uid="{C23E2254-C12E-4B2D-B5E3-AFB86C8008DE}"/>
    <cellStyle name="Percent 2 3 5 2" xfId="2443" xr:uid="{5CF98F35-CAFC-41DE-A273-D8CF983EBB6B}"/>
    <cellStyle name="Percent 2 3 6" xfId="2428" xr:uid="{73D47114-7476-4922-9094-2ACBEDE39323}"/>
    <cellStyle name="Percent 2 4" xfId="1588" xr:uid="{4F3032D3-F0A9-42AD-B280-4E4147BDD669}"/>
    <cellStyle name="Percent 2 4 2" xfId="1589" xr:uid="{190FB8CD-7B0C-40C7-B386-0134C2609BF8}"/>
    <cellStyle name="Percent 2 4 2 2" xfId="2445" xr:uid="{62050D68-D3FB-4FFF-99BA-E58228EB9402}"/>
    <cellStyle name="Percent 2 4 3" xfId="2444" xr:uid="{BA876410-C4A5-4861-A8D1-F3F152B97AD2}"/>
    <cellStyle name="Percent 2 5" xfId="1590" xr:uid="{53B8CF6B-E2A0-4BD8-AFDC-320E55B6DFDA}"/>
    <cellStyle name="Percent 2 6" xfId="1591" xr:uid="{7299F029-D48B-4852-A8AE-AAC9990B5D63}"/>
    <cellStyle name="Percent 2 7" xfId="1592" xr:uid="{D42EEF92-A111-41ED-870E-628CF596F1BE}"/>
    <cellStyle name="Percent 2 8" xfId="1593" xr:uid="{3B41C08A-2A15-4E06-A72A-C0C2C127A757}"/>
    <cellStyle name="Percent 2 8 2" xfId="2446" xr:uid="{6E9C2BC7-E846-425F-B5E0-14FD85031D74}"/>
    <cellStyle name="Percent 2 9" xfId="1594" xr:uid="{0F23F81C-161D-4DEA-BBF8-8F536E551B80}"/>
    <cellStyle name="Percent 20" xfId="1595" xr:uid="{7BDA8CB0-DE96-47AF-95B2-5C239F94F7FB}"/>
    <cellStyle name="Percent 21" xfId="1596" xr:uid="{5F005300-67EB-4EA7-BF13-05891256D9CF}"/>
    <cellStyle name="Percent 22" xfId="1597" xr:uid="{00E0FA05-9AA8-4113-AD4B-3537483EC417}"/>
    <cellStyle name="Percent 220" xfId="3051" xr:uid="{47DE1D2A-8EFB-4BB0-9A4B-EEB2935A9D56}"/>
    <cellStyle name="Percent 23" xfId="1598" xr:uid="{BBEB0D6A-5962-4566-8CF4-27E5177EAA1A}"/>
    <cellStyle name="Percent 24" xfId="1599" xr:uid="{5671AD43-76CB-4888-A214-677E50601FF0}"/>
    <cellStyle name="Percent 25" xfId="1600" xr:uid="{EAD615DD-251B-4D4B-94E4-712BB0C05813}"/>
    <cellStyle name="Percent 26" xfId="1601" xr:uid="{472EC2FF-8C47-4BF9-82FC-4108785072D8}"/>
    <cellStyle name="Percent 26 2" xfId="1602" xr:uid="{571E6B54-8AA1-49AB-BA68-2800F48322AC}"/>
    <cellStyle name="Percent 26 2 2" xfId="2448" xr:uid="{EE1C80D1-C25E-4DE1-9692-74E494F02590}"/>
    <cellStyle name="Percent 26 3" xfId="2447" xr:uid="{771E9277-49C8-434C-B377-1E8AA87614F3}"/>
    <cellStyle name="Percent 27" xfId="1603" xr:uid="{A0134A77-3926-451B-B123-E48F209428D1}"/>
    <cellStyle name="Percent 27 2" xfId="2449" xr:uid="{95DAC51F-5010-45AA-8C4E-806183A0ADFF}"/>
    <cellStyle name="Percent 28" xfId="1604" xr:uid="{6553462F-3995-426B-9B78-21EE7B3C4C29}"/>
    <cellStyle name="Percent 28 2" xfId="2450" xr:uid="{9DCE05FB-2467-4062-B3D3-B6B60A48D491}"/>
    <cellStyle name="Percent 29" xfId="1605" xr:uid="{D0015856-F7B8-4539-B1AE-3321FF2E8B9B}"/>
    <cellStyle name="Percent 29 2" xfId="1606" xr:uid="{60A071A2-8CE6-4B0C-9849-73F00A3339C6}"/>
    <cellStyle name="Percent 29 2 2" xfId="2452" xr:uid="{10EC7AF0-8F0D-41D7-B51D-DD214539C295}"/>
    <cellStyle name="Percent 29 3" xfId="2451" xr:uid="{4095CE6B-40A9-49ED-B175-D61B6E1E2834}"/>
    <cellStyle name="Percent 3" xfId="1607" xr:uid="{84EB2009-B543-4CDA-B83C-2648C379FFB3}"/>
    <cellStyle name="Percent 3 2" xfId="1608" xr:uid="{1EB85E8C-76D8-4112-B438-110A949682D1}"/>
    <cellStyle name="Percent 3 2 2" xfId="2453" xr:uid="{029AC373-B19B-4E05-9E8B-DA0EF8784771}"/>
    <cellStyle name="Percent 3 2 3" xfId="2929" xr:uid="{32E65585-F730-43E5-8A53-A0903765D225}"/>
    <cellStyle name="Percent 30" xfId="1609" xr:uid="{E4D8C56F-73B8-4DF2-A155-BB4D07A5AE9E}"/>
    <cellStyle name="Percent 30 2" xfId="1610" xr:uid="{BA743E96-EA5E-4EC6-9BBB-97D2E71B7D9B}"/>
    <cellStyle name="Percent 30 2 2" xfId="2455" xr:uid="{E6760F12-2399-41A4-9BFB-D2657869455D}"/>
    <cellStyle name="Percent 30 3" xfId="2454" xr:uid="{430E8F88-5B83-40CF-A141-F0C733A77100}"/>
    <cellStyle name="Percent 31" xfId="1611" xr:uid="{F5D623F9-E279-470D-8201-780E1BB206EE}"/>
    <cellStyle name="Percent 31 2" xfId="1612" xr:uid="{6F9519D5-7B5E-4062-8E45-502C4CA9532D}"/>
    <cellStyle name="Percent 31 2 2" xfId="2457" xr:uid="{B7E7F6F7-07DE-4952-BF37-98070D48AE41}"/>
    <cellStyle name="Percent 31 3" xfId="2456" xr:uid="{2AC0EEA5-8180-4BED-BA40-5CFE1B334F0F}"/>
    <cellStyle name="Percent 32" xfId="1613" xr:uid="{29BA0F84-7B97-4804-8F4B-395759CE67BD}"/>
    <cellStyle name="Percent 32 2" xfId="1614" xr:uid="{74C805FF-1932-483A-8BC5-C79DB75977E0}"/>
    <cellStyle name="Percent 32 2 2" xfId="2459" xr:uid="{BBFD8085-103F-44BF-94F8-0FE697579FBA}"/>
    <cellStyle name="Percent 32 3" xfId="2458" xr:uid="{C84B23BE-E573-42E8-9BBD-A221F064F82D}"/>
    <cellStyle name="Percent 33" xfId="1615" xr:uid="{954586CD-921F-488B-8843-B9E16034773A}"/>
    <cellStyle name="Percent 33 2" xfId="1616" xr:uid="{301FB59B-F772-4B49-9C25-CF47142D5776}"/>
    <cellStyle name="Percent 33 2 2" xfId="2461" xr:uid="{38CEFD9F-1B03-4CEF-8F8C-6E75E7F7BFFE}"/>
    <cellStyle name="Percent 33 3" xfId="2460" xr:uid="{3BA34BC1-C627-4A5A-9DB7-2A7A7AE731B6}"/>
    <cellStyle name="Percent 34" xfId="1617" xr:uid="{8F478AE4-56B3-4EBD-A3AD-1180950CEC00}"/>
    <cellStyle name="Percent 34 2" xfId="1618" xr:uid="{A31D18E7-6674-44C6-984E-C08BD26E0353}"/>
    <cellStyle name="Percent 34 2 2" xfId="2463" xr:uid="{21BAE3D9-CEE6-4050-9D77-34B273C8E949}"/>
    <cellStyle name="Percent 34 3" xfId="2462" xr:uid="{B59C1249-5411-4DB4-9FBA-48285996C239}"/>
    <cellStyle name="Percent 35" xfId="1619" xr:uid="{35EF57A1-C605-4AB9-ADCE-201394FF7AA3}"/>
    <cellStyle name="Percent 35 2" xfId="1620" xr:uid="{B905ACC7-CC5F-46BC-B854-778EDE4BFA64}"/>
    <cellStyle name="Percent 35 2 2" xfId="2465" xr:uid="{4E6C03C4-6A28-4B99-8BC1-9E9CE65E449A}"/>
    <cellStyle name="Percent 35 3" xfId="2464" xr:uid="{86BCEA3E-8C70-442D-BC80-A8AEC036F3F6}"/>
    <cellStyle name="Percent 36" xfId="1621" xr:uid="{2EA541ED-4BD6-4CE3-9D11-7F553BC8FCD8}"/>
    <cellStyle name="Percent 36 2" xfId="1622" xr:uid="{ABA8CB4C-A136-4D75-B36C-5D8700D7A038}"/>
    <cellStyle name="Percent 36 2 2" xfId="2467" xr:uid="{A5314C2D-64DE-4871-B4F1-C3896849686C}"/>
    <cellStyle name="Percent 36 3" xfId="2466" xr:uid="{15D6BE2E-5B49-4CE4-8FE3-3E468CAF6007}"/>
    <cellStyle name="Percent 37" xfId="1623" xr:uid="{13858967-6C43-4066-9744-B16DDEE5DF04}"/>
    <cellStyle name="Percent 37 2" xfId="1624" xr:uid="{230B7D1D-20C3-4EE5-8396-92409FF0579B}"/>
    <cellStyle name="Percent 37 2 2" xfId="2469" xr:uid="{78A15D29-22FB-4C55-AFC5-FAAE6C7B372C}"/>
    <cellStyle name="Percent 37 3" xfId="2468" xr:uid="{A193122B-619B-4633-8EDB-F705CC1F5D13}"/>
    <cellStyle name="Percent 38" xfId="1625" xr:uid="{71284605-C6A3-40E4-849F-38FBF317F75C}"/>
    <cellStyle name="Percent 38 2" xfId="1626" xr:uid="{44AE2502-A8F8-4362-BD9C-E9F9354A8C74}"/>
    <cellStyle name="Percent 38 2 2" xfId="2471" xr:uid="{B6513697-A086-4276-ACA9-1F4D3B8A0500}"/>
    <cellStyle name="Percent 38 3" xfId="2470" xr:uid="{8AC8D788-B8F7-4AF1-A4A8-2E68A899EC0B}"/>
    <cellStyle name="Percent 39" xfId="1627" xr:uid="{0AD1108E-0345-4218-BAAE-895B3F586922}"/>
    <cellStyle name="Percent 39 2" xfId="1628" xr:uid="{B3B396B2-15DF-40C1-AE83-54992C901846}"/>
    <cellStyle name="Percent 39 2 2" xfId="2473" xr:uid="{88C1A493-73E1-42A9-9AA1-4491E826440F}"/>
    <cellStyle name="Percent 39 3" xfId="2472" xr:uid="{694C41F7-FE8D-4AB7-AAD4-7A852D0567EF}"/>
    <cellStyle name="Percent 4" xfId="1629" xr:uid="{F3B2AB85-84C1-4295-9919-2A82BB0EDC71}"/>
    <cellStyle name="Percent 4 2" xfId="1630" xr:uid="{0BBAB245-B6B2-4753-B93B-F48E492AC1D6}"/>
    <cellStyle name="Percent 4 2 2" xfId="2474" xr:uid="{9FD7057D-6DDE-4471-A032-C87D7CE282CD}"/>
    <cellStyle name="Percent 4 2 3" xfId="2930" xr:uid="{4B16A7E9-6E85-484C-81DB-E2534147597D}"/>
    <cellStyle name="Percent 40" xfId="1631" xr:uid="{94787DC9-844A-464C-A733-DEBEEA2DE41B}"/>
    <cellStyle name="Percent 40 2" xfId="1632" xr:uid="{30C5274D-3429-4DC6-B775-8A7BB587CCE3}"/>
    <cellStyle name="Percent 40 2 2" xfId="2476" xr:uid="{BBFFF4C7-666E-439A-8BD2-87855ED0FD7C}"/>
    <cellStyle name="Percent 40 3" xfId="2475" xr:uid="{C7F14E67-CD01-44DC-AA05-8369033C8535}"/>
    <cellStyle name="Percent 41" xfId="1633" xr:uid="{56338B2F-1A41-4B0E-8ED4-94A156A83626}"/>
    <cellStyle name="Percent 41 2" xfId="1634" xr:uid="{E8D2E914-AF78-4055-AD48-32F5B9BA4509}"/>
    <cellStyle name="Percent 41 2 2" xfId="2478" xr:uid="{EE6819E4-88CC-4142-8AE2-78026A4A7613}"/>
    <cellStyle name="Percent 41 3" xfId="2477" xr:uid="{ED591BF0-10C0-467D-8D9F-59AE36C14EB6}"/>
    <cellStyle name="Percent 42" xfId="1635" xr:uid="{DD9C716F-D59E-4DB8-9076-8967D7D91838}"/>
    <cellStyle name="Percent 42 2" xfId="1636" xr:uid="{2BBC309E-7AC5-4F6B-A461-E35616D7B06A}"/>
    <cellStyle name="Percent 42 2 2" xfId="2480" xr:uid="{B7EEEEBD-1A54-4B3A-976E-44C5CF47B029}"/>
    <cellStyle name="Percent 42 3" xfId="2479" xr:uid="{B138CC77-081A-416F-A8EC-498F36685F8F}"/>
    <cellStyle name="Percent 43" xfId="1637" xr:uid="{AC983347-F808-4BB6-B289-8531EDBDF2D9}"/>
    <cellStyle name="Percent 43 2" xfId="1638" xr:uid="{10DC1B9C-0EA0-416F-9E1D-9E69A96F6A34}"/>
    <cellStyle name="Percent 43 2 2" xfId="2482" xr:uid="{0A6660FC-A478-4E78-BF4D-22E788FA1B97}"/>
    <cellStyle name="Percent 43 3" xfId="2481" xr:uid="{93BA1BB3-0C68-40F1-A425-3AC9701A4F90}"/>
    <cellStyle name="Percent 44" xfId="1639" xr:uid="{81C34135-2056-4F26-B2A5-8094492882F9}"/>
    <cellStyle name="Percent 44 2" xfId="1640" xr:uid="{8675ED1D-8A30-4075-AC82-78D895FA9E30}"/>
    <cellStyle name="Percent 44 2 2" xfId="2484" xr:uid="{857F0C83-CFD5-40DC-8083-FC6391C8633E}"/>
    <cellStyle name="Percent 44 3" xfId="2483" xr:uid="{81DC1B41-95C6-4F6F-A337-9E6FF76EF65E}"/>
    <cellStyle name="Percent 45" xfId="1641" xr:uid="{445AE64B-445E-45DB-B3EF-90CF91314473}"/>
    <cellStyle name="Percent 45 2" xfId="1642" xr:uid="{E5BF1B54-5525-42F0-A74E-DB78BE08ADA0}"/>
    <cellStyle name="Percent 45 2 2" xfId="2486" xr:uid="{557A8914-A2CE-457B-A90A-DD98589AF448}"/>
    <cellStyle name="Percent 45 3" xfId="2485" xr:uid="{9C977EE8-1D38-403B-91B3-6EE8CF60CC4E}"/>
    <cellStyle name="Percent 46" xfId="1643" xr:uid="{9EE1C6A2-4DB8-477F-B4D4-6A04323ED60E}"/>
    <cellStyle name="Percent 46 2" xfId="1644" xr:uid="{94224ADD-B265-4541-880B-27B9D57A7784}"/>
    <cellStyle name="Percent 46 2 2" xfId="2488" xr:uid="{2DD72237-0D8E-4EB5-8B0C-46BCAE1A9CB9}"/>
    <cellStyle name="Percent 46 3" xfId="2487" xr:uid="{715A3E25-2603-41BC-8050-55E4C24F2D11}"/>
    <cellStyle name="Percent 47" xfId="1645" xr:uid="{F418B02D-62FA-4917-BCC6-359548B1F625}"/>
    <cellStyle name="Percent 47 2" xfId="1646" xr:uid="{8EB13840-B3DE-48DE-9A8E-840770CACF12}"/>
    <cellStyle name="Percent 47 2 2" xfId="2490" xr:uid="{F30C143B-23B8-4F76-8305-EB452A329FC8}"/>
    <cellStyle name="Percent 47 3" xfId="2489" xr:uid="{A0A58CBB-8100-4EEC-9EA8-DE63385454C7}"/>
    <cellStyle name="Percent 48" xfId="1647" xr:uid="{5B25504C-14FD-4A9F-9AC1-EB852D140694}"/>
    <cellStyle name="Percent 48 2" xfId="2491" xr:uid="{C7F974D3-CA61-4DEB-A455-C3D0825B4F71}"/>
    <cellStyle name="Percent 49" xfId="1648" xr:uid="{C8A29421-7050-4E17-81F0-83C1B790FC73}"/>
    <cellStyle name="Percent 49 2" xfId="1649" xr:uid="{9AA0D273-D278-4317-822D-6DB3690C0B19}"/>
    <cellStyle name="Percent 49 2 2" xfId="2493" xr:uid="{110DDCC4-F6D5-4C07-A2C2-7F530E882C39}"/>
    <cellStyle name="Percent 49 3" xfId="2492" xr:uid="{424EDB04-FE0F-4FF1-BA77-8BA55F4B5C6B}"/>
    <cellStyle name="Percent 5" xfId="1650" xr:uid="{53CF1CD0-A1FE-44E0-A062-484D5DA67CFA}"/>
    <cellStyle name="Percent 5 2" xfId="1651" xr:uid="{FAF2AE0B-018C-4A1C-85A3-3061BFB90A54}"/>
    <cellStyle name="Percent 5 2 2" xfId="1652" xr:uid="{964E398A-C23D-4084-850A-D9C18A99FDE1}"/>
    <cellStyle name="Percent 5 2 3" xfId="1653" xr:uid="{93BBB553-5A60-4166-A170-6A3587409B3F}"/>
    <cellStyle name="Percent 5 2 4" xfId="1654" xr:uid="{0E737589-CAC6-4866-81B2-FBF111CC48C8}"/>
    <cellStyle name="Percent 5 2 4 2" xfId="2495" xr:uid="{3284EAC4-1A00-4613-A5B3-1A8F36253050}"/>
    <cellStyle name="Percent 5 2 5" xfId="2494" xr:uid="{F986029C-582B-4B4E-96CA-6C2B86ABCFB1}"/>
    <cellStyle name="Percent 5 3" xfId="1655" xr:uid="{2CC2544D-A022-4094-B381-FFA7E98ECD08}"/>
    <cellStyle name="Percent 5 3 2" xfId="1656" xr:uid="{33033AE4-E651-4167-8A41-827982F7379D}"/>
    <cellStyle name="Percent 5 3 2 2" xfId="2497" xr:uid="{ED21F2D9-95D2-43C6-922F-C11F1897A4B9}"/>
    <cellStyle name="Percent 5 3 3" xfId="2496" xr:uid="{D380AE41-AA3F-4D8E-B97F-D37E1541D4B6}"/>
    <cellStyle name="Percent 50" xfId="1657" xr:uid="{569B7CC6-6A25-4D66-AE58-E8BF148DD3B0}"/>
    <cellStyle name="Percent 50 2" xfId="1658" xr:uid="{EB39D2C9-34C1-430D-B97E-07E6943A96BC}"/>
    <cellStyle name="Percent 50 2 2" xfId="2499" xr:uid="{EA68F999-5813-4419-97AC-6EF7D3648DFA}"/>
    <cellStyle name="Percent 50 3" xfId="2498" xr:uid="{25DC74F6-1623-4339-8C00-19AF95626994}"/>
    <cellStyle name="Percent 51" xfId="1659" xr:uid="{3C7A53A6-DA52-45F4-B1DF-A1F647AFD34E}"/>
    <cellStyle name="Percent 51 2" xfId="1660" xr:uid="{8CACB8A1-9DA7-4C51-991A-47786AF636EE}"/>
    <cellStyle name="Percent 51 2 2" xfId="2501" xr:uid="{C959C687-9FDA-4EF7-B50B-C00838F98A36}"/>
    <cellStyle name="Percent 51 3" xfId="2500" xr:uid="{6A3FED3D-DA92-42B3-AFA9-48F10B3F704B}"/>
    <cellStyle name="Percent 52" xfId="1661" xr:uid="{6008F613-3B44-47D9-BBDA-8D1ED39F7029}"/>
    <cellStyle name="Percent 52 2" xfId="1662" xr:uid="{56146873-F08E-490F-B25B-EF23AFD52F0C}"/>
    <cellStyle name="Percent 52 2 2" xfId="2503" xr:uid="{C490BEE1-EA3F-4315-A706-31FFFA4ABA35}"/>
    <cellStyle name="Percent 52 3" xfId="2502" xr:uid="{021BA577-78FA-4DE8-99BD-F52932809CCA}"/>
    <cellStyle name="Percent 53" xfId="1663" xr:uid="{32F803C2-0529-4E5D-A7E8-A8B30D26973D}"/>
    <cellStyle name="Percent 53 2" xfId="1664" xr:uid="{74D8FE6C-1EB8-4BB6-B102-B1A058A18852}"/>
    <cellStyle name="Percent 53 2 2" xfId="2505" xr:uid="{DEFBD074-1B7A-415A-83C3-4673CF60412C}"/>
    <cellStyle name="Percent 53 3" xfId="2504" xr:uid="{01B7683A-19CA-4D97-95B7-24B4366CEE6E}"/>
    <cellStyle name="Percent 54" xfId="1665" xr:uid="{1748FB0D-404D-482B-9A7F-FA1E2AA926E2}"/>
    <cellStyle name="Percent 54 2" xfId="1666" xr:uid="{A5F4BECA-44EB-4FDD-B4F3-A5A801C2381A}"/>
    <cellStyle name="Percent 54 2 2" xfId="2507" xr:uid="{B56B60AB-8E8B-4C1C-A99F-02C539F4B23B}"/>
    <cellStyle name="Percent 54 3" xfId="2506" xr:uid="{9381C8C8-6C1D-4715-91CB-5E5AA3B2B7DC}"/>
    <cellStyle name="Percent 55" xfId="1667" xr:uid="{2BD50903-0344-47F0-B9F8-56E286E5428B}"/>
    <cellStyle name="Percent 55 2" xfId="1668" xr:uid="{B54FB735-89CD-4802-8652-0A1B185E7E76}"/>
    <cellStyle name="Percent 55 2 2" xfId="2509" xr:uid="{0EF84CF9-4B17-4DA2-A69E-7949706C6F04}"/>
    <cellStyle name="Percent 55 3" xfId="2508" xr:uid="{C1CFA85C-AE19-44AC-AC75-6AEB3E9188B4}"/>
    <cellStyle name="Percent 56" xfId="1669" xr:uid="{03DB5C77-8293-491F-8E3D-EC6EAE08C461}"/>
    <cellStyle name="Percent 56 2" xfId="1670" xr:uid="{2433987B-C848-4920-96D2-C872610527E7}"/>
    <cellStyle name="Percent 56 2 2" xfId="2511" xr:uid="{07F2DA6B-2E98-4E6E-81C2-8FC827A22F51}"/>
    <cellStyle name="Percent 56 3" xfId="2510" xr:uid="{0E55E079-E460-4E07-B183-2DDFBA725A7B}"/>
    <cellStyle name="Percent 57" xfId="1671" xr:uid="{A3F71D88-32C6-4EC2-A829-941C96F8049F}"/>
    <cellStyle name="Percent 57 2" xfId="1672" xr:uid="{11AE2040-B4C7-4583-B62A-30580EC3E8E0}"/>
    <cellStyle name="Percent 57 2 2" xfId="2513" xr:uid="{136D19B0-1BA6-44DC-BA9E-A8205EF35934}"/>
    <cellStyle name="Percent 57 3" xfId="2512" xr:uid="{894981B2-344E-4095-A70D-AD19C3DD4E72}"/>
    <cellStyle name="Percent 58" xfId="1673" xr:uid="{2932B874-87F4-46C7-9FA7-149814B326A6}"/>
    <cellStyle name="Percent 58 2" xfId="1674" xr:uid="{6FBB19E3-B09C-4ED4-8E46-9E97FBF441A8}"/>
    <cellStyle name="Percent 58 2 2" xfId="2515" xr:uid="{BBD1606D-052C-463B-BA1D-A3D070FBAC99}"/>
    <cellStyle name="Percent 58 3" xfId="2514" xr:uid="{9BED8442-2272-445B-84FF-81A68DA29EB8}"/>
    <cellStyle name="Percent 59" xfId="1675" xr:uid="{3822982B-44F4-4EB0-AB1D-0D98FEC9312D}"/>
    <cellStyle name="Percent 59 2" xfId="1676" xr:uid="{9485C773-5BCC-4363-A5F0-D56E60A0CCF7}"/>
    <cellStyle name="Percent 59 2 2" xfId="2517" xr:uid="{75BC8B2B-F7B9-4375-BEA5-79FE14F85E1E}"/>
    <cellStyle name="Percent 59 3" xfId="2516" xr:uid="{5D5C6691-1AFA-43CA-8997-89F668CB777D}"/>
    <cellStyle name="Percent 6" xfId="1677" xr:uid="{C919B86B-0807-44A4-91D9-B44E73DEB63B}"/>
    <cellStyle name="Percent 6 2" xfId="1678" xr:uid="{DE0DE814-2741-4FAD-8072-E4B8EE6C5D6A}"/>
    <cellStyle name="Percent 60" xfId="1679" xr:uid="{D57F5334-080C-4FF1-B307-2CED52734C03}"/>
    <cellStyle name="Percent 60 2" xfId="1680" xr:uid="{EEB8FF2C-6E66-4F21-99D5-FB4FC8EEA951}"/>
    <cellStyle name="Percent 60 2 2" xfId="2519" xr:uid="{578591FE-D482-4155-95C2-5B6DE53C07D6}"/>
    <cellStyle name="Percent 60 3" xfId="2518" xr:uid="{28AC09E0-84FF-44B6-90DE-5F07CB81FCFA}"/>
    <cellStyle name="Percent 61" xfId="1681" xr:uid="{D11E458C-184F-4BB7-B7E2-9C69583C8E2A}"/>
    <cellStyle name="Percent 61 2" xfId="1682" xr:uid="{C585C9FE-275D-43BD-9694-BDBEB0E41715}"/>
    <cellStyle name="Percent 61 2 2" xfId="2521" xr:uid="{12C443BB-AC11-4F11-9FDA-87847BDDD611}"/>
    <cellStyle name="Percent 61 3" xfId="2520" xr:uid="{D323DB1A-EA9F-413C-8085-3B4A9BC29E29}"/>
    <cellStyle name="Percent 62" xfId="1683" xr:uid="{8136AA68-3B4E-40C8-B36D-1E3F25B15691}"/>
    <cellStyle name="Percent 62 2" xfId="1684" xr:uid="{7CF886E9-A027-4622-B04D-7CE514087C2C}"/>
    <cellStyle name="Percent 62 2 2" xfId="2523" xr:uid="{623745C3-E9D3-43A2-BE19-7023B06F85B2}"/>
    <cellStyle name="Percent 62 3" xfId="2522" xr:uid="{03831000-A73C-40C0-9A46-A3E0F8EFBF72}"/>
    <cellStyle name="Percent 63" xfId="1685" xr:uid="{20814E41-02E3-4EEE-80D8-D4237A60FAC5}"/>
    <cellStyle name="Percent 63 2" xfId="1686" xr:uid="{1D69FCBB-490D-4003-9814-008C8FF7B12D}"/>
    <cellStyle name="Percent 63 2 2" xfId="2525" xr:uid="{28AD5D02-9E30-4819-9C56-CA1261390A8E}"/>
    <cellStyle name="Percent 63 3" xfId="2524" xr:uid="{6D9F385E-B50A-46BA-B1FB-224C47438039}"/>
    <cellStyle name="Percent 64" xfId="1687" xr:uid="{909DE9F2-8E0C-41DA-9EC4-D5B38149C2A6}"/>
    <cellStyle name="Percent 64 2" xfId="1688" xr:uid="{B06DCE63-F5E1-4632-9AB1-7A8322D498E9}"/>
    <cellStyle name="Percent 64 2 2" xfId="2527" xr:uid="{0F1B9165-D4D9-4CBA-AD74-E701FD5DEC8F}"/>
    <cellStyle name="Percent 64 3" xfId="2526" xr:uid="{677865F4-FA65-4925-8B26-A76A3CF60B5B}"/>
    <cellStyle name="Percent 65" xfId="1689" xr:uid="{8E175110-C753-4B9A-9EA4-916234290C0C}"/>
    <cellStyle name="Percent 65 2" xfId="1690" xr:uid="{E7B68A4A-4E63-409B-955D-A881EDFC0382}"/>
    <cellStyle name="Percent 65 2 2" xfId="2529" xr:uid="{4DD94EFC-70B7-44F7-812A-9F7D9E53B0AC}"/>
    <cellStyle name="Percent 65 3" xfId="2528" xr:uid="{2116B301-C2A6-4844-AF32-DD06142F44AC}"/>
    <cellStyle name="Percent 66" xfId="1691" xr:uid="{E4F640E2-A7DA-4163-A50E-2FB27B238F0B}"/>
    <cellStyle name="Percent 66 2" xfId="1692" xr:uid="{AD11E14F-4F02-4214-BEB7-5C490806A859}"/>
    <cellStyle name="Percent 66 2 2" xfId="2531" xr:uid="{97688C96-4EEF-4CB1-BEB4-75786405846D}"/>
    <cellStyle name="Percent 66 3" xfId="2530" xr:uid="{A1CEADAA-0B19-40AC-B95D-354775595EE3}"/>
    <cellStyle name="Percent 67" xfId="1693" xr:uid="{F4965A73-E4E7-4DA5-AFCF-F5E806129504}"/>
    <cellStyle name="Percent 67 2" xfId="1694" xr:uid="{CDBAF205-895A-4076-B6DD-C8F84B66DBAA}"/>
    <cellStyle name="Percent 67 2 2" xfId="2533" xr:uid="{DDFF59F9-75E0-479C-AD64-18233564889F}"/>
    <cellStyle name="Percent 67 3" xfId="2532" xr:uid="{07CBD8E4-6B65-48B1-8CA3-1CB630A96551}"/>
    <cellStyle name="Percent 68" xfId="1695" xr:uid="{E5763D7F-44BF-495A-AEA5-44242ABB25F2}"/>
    <cellStyle name="Percent 68 2" xfId="1696" xr:uid="{3A4F3762-F3A2-43A8-A4C3-FD427527206E}"/>
    <cellStyle name="Percent 68 2 2" xfId="2535" xr:uid="{75417674-E73B-42A7-B5A2-6037E0427158}"/>
    <cellStyle name="Percent 68 3" xfId="2534" xr:uid="{3213BE87-EC12-4296-8FCB-13B24B7EBF42}"/>
    <cellStyle name="Percent 69" xfId="1697" xr:uid="{65696C1F-8149-4DCD-A970-BF0063462F36}"/>
    <cellStyle name="Percent 69 2" xfId="1698" xr:uid="{50EE9944-7E2B-40F5-9DFF-D966339CF5B9}"/>
    <cellStyle name="Percent 69 2 2" xfId="2537" xr:uid="{26146884-BF7D-49DA-8E5D-40246CD8C74D}"/>
    <cellStyle name="Percent 69 3" xfId="2536" xr:uid="{5EBF90D8-4BE2-49E2-99BD-170264E2A341}"/>
    <cellStyle name="Percent 7" xfId="1699" xr:uid="{D5DDEB91-CD18-403C-837D-F0094219A4FB}"/>
    <cellStyle name="Percent 70" xfId="1700" xr:uid="{1C9721F9-4B75-4C37-A464-31405A909131}"/>
    <cellStyle name="Percent 70 2" xfId="1701" xr:uid="{8059A9F0-1DB8-4606-A44D-290CCD1C0CFD}"/>
    <cellStyle name="Percent 70 2 2" xfId="2539" xr:uid="{9E9DFBB8-0163-4150-8EA6-5FE38682000C}"/>
    <cellStyle name="Percent 70 3" xfId="2538" xr:uid="{324A4045-39E8-4044-BBE5-4082E773446F}"/>
    <cellStyle name="Percent 71" xfId="1702" xr:uid="{7D8BC68D-0454-4CAF-BAC7-23C75F8DF23A}"/>
    <cellStyle name="Percent 71 2" xfId="1703" xr:uid="{B710933E-991D-4C4D-A5F0-228F7730B24F}"/>
    <cellStyle name="Percent 71 2 2" xfId="2541" xr:uid="{268A556B-0974-4EF4-ABB5-F2A495AE87A8}"/>
    <cellStyle name="Percent 71 3" xfId="2540" xr:uid="{D9D71642-8C7D-4059-951D-23958A8A7D8A}"/>
    <cellStyle name="Percent 72" xfId="1704" xr:uid="{A94F2C68-4B34-4C24-BF5D-8ABFBF743922}"/>
    <cellStyle name="Percent 72 2" xfId="1705" xr:uid="{847516A7-D434-4096-AB7A-9A1BA77CB43D}"/>
    <cellStyle name="Percent 72 2 2" xfId="2543" xr:uid="{BD10B86F-9D7F-4DDB-B202-FCA002624F8E}"/>
    <cellStyle name="Percent 72 3" xfId="2542" xr:uid="{87B411E5-B3C6-4AAB-B689-0BA5855C7FF3}"/>
    <cellStyle name="Percent 73" xfId="1706" xr:uid="{55FD93F5-49D7-4A60-BA1D-00A341D392B2}"/>
    <cellStyle name="Percent 73 2" xfId="1707" xr:uid="{FBBE3099-FA3B-47EB-878B-DD3E86D7441C}"/>
    <cellStyle name="Percent 73 2 2" xfId="2545" xr:uid="{33199580-7A22-435D-AD10-D31DA195F9C1}"/>
    <cellStyle name="Percent 73 3" xfId="2544" xr:uid="{DEAB04A1-C5A1-497A-BA09-A1C5F19F8736}"/>
    <cellStyle name="Percent 74" xfId="1708" xr:uid="{4E2EBD32-206B-4BF2-80DF-9C6FFAFF2970}"/>
    <cellStyle name="Percent 74 2" xfId="1709" xr:uid="{1F8321B9-6155-4E45-9E44-E546E4153F6C}"/>
    <cellStyle name="Percent 74 2 2" xfId="2547" xr:uid="{C56C3D1C-2133-42C8-9D14-55870B09EF55}"/>
    <cellStyle name="Percent 74 3" xfId="2546" xr:uid="{C1311C58-DBCC-4E36-9B7B-27695E34E988}"/>
    <cellStyle name="Percent 75" xfId="1710" xr:uid="{C0E2CA7C-B718-4201-AE86-5FBAC8058D88}"/>
    <cellStyle name="Percent 75 2" xfId="1711" xr:uid="{1993E64C-C247-4DA6-A7FF-ADE73E69EDAB}"/>
    <cellStyle name="Percent 75 2 2" xfId="2549" xr:uid="{8D1C77C4-4231-46AC-AEA4-64A4EDE965FA}"/>
    <cellStyle name="Percent 75 3" xfId="2548" xr:uid="{866335EB-DB54-4BD5-BE4A-F986908E8D8B}"/>
    <cellStyle name="Percent 76" xfId="1712" xr:uid="{5C7EF882-FAD3-4C5E-B691-3846E63AFBB5}"/>
    <cellStyle name="Percent 76 2" xfId="1713" xr:uid="{E55FE817-4C31-4820-A16B-A71436E7AF40}"/>
    <cellStyle name="Percent 76 2 2" xfId="2551" xr:uid="{A627A7D7-072C-488C-977B-8E147FB08199}"/>
    <cellStyle name="Percent 76 3" xfId="2550" xr:uid="{153B0CEF-F44F-489E-ADDB-E841ABCD07C3}"/>
    <cellStyle name="Percent 77" xfId="1714" xr:uid="{A9E7BB78-755A-4F0C-BECD-DADEB76A6131}"/>
    <cellStyle name="Percent 77 2" xfId="1715" xr:uid="{CF453072-6A89-4421-AE20-34003EC4CD39}"/>
    <cellStyle name="Percent 77 2 2" xfId="2553" xr:uid="{E838593B-8EA0-40F1-BAEB-AB9B39C94F7F}"/>
    <cellStyle name="Percent 77 3" xfId="2552" xr:uid="{DA24851D-88C5-47DC-BA4E-659563246100}"/>
    <cellStyle name="Percent 78" xfId="1716" xr:uid="{CC771B39-78CD-444D-AE91-25BDEF0704E8}"/>
    <cellStyle name="Percent 78 2" xfId="1717" xr:uid="{D308224D-E035-4D8F-97AE-18980B9B1756}"/>
    <cellStyle name="Percent 78 2 2" xfId="2555" xr:uid="{F80D8796-91A6-4731-B296-6181BA5C54CC}"/>
    <cellStyle name="Percent 78 3" xfId="2554" xr:uid="{83D33631-8504-4971-9864-DDF6C4A040A5}"/>
    <cellStyle name="Percent 79" xfId="1718" xr:uid="{87D90A76-D9BE-408C-A364-468853F9E616}"/>
    <cellStyle name="Percent 79 2" xfId="1719" xr:uid="{2E6A9572-81FF-463C-A3A1-E27D41161317}"/>
    <cellStyle name="Percent 79 2 2" xfId="2557" xr:uid="{DCE2A252-4557-474A-BF42-DDA18B5553E6}"/>
    <cellStyle name="Percent 79 2 3" xfId="2932" xr:uid="{D871F89F-2CFB-4F24-9473-7BA38FDC65DC}"/>
    <cellStyle name="Percent 79 3" xfId="2556" xr:uid="{DE445CE2-E537-4D32-9958-DD19452DD81A}"/>
    <cellStyle name="Percent 79 4" xfId="2931" xr:uid="{71DB445B-39E0-4E6D-8D34-7B98199BC220}"/>
    <cellStyle name="Percent 8" xfId="1720" xr:uid="{3BE1F699-3F52-4F7A-9E77-4F23B45C4388}"/>
    <cellStyle name="Percent 80" xfId="1721" xr:uid="{F6C43913-0B42-475B-938E-093502F4BFD4}"/>
    <cellStyle name="Percent 80 2" xfId="1722" xr:uid="{8E549E08-E6A5-492A-90EF-954A9A682B89}"/>
    <cellStyle name="Percent 80 2 2" xfId="2559" xr:uid="{EF83A1EB-1C08-4DE5-82A6-FC92E3CB0FFF}"/>
    <cellStyle name="Percent 80 2 3" xfId="2934" xr:uid="{E05AAA02-A779-4BE5-BE05-212B9C722BAD}"/>
    <cellStyle name="Percent 80 3" xfId="2558" xr:uid="{3A784DAD-FB4C-49AA-888C-5F93B9193165}"/>
    <cellStyle name="Percent 80 4" xfId="2933" xr:uid="{60AC0A95-BC72-4ABE-94A6-E6CE446A5ECE}"/>
    <cellStyle name="Percent 81" xfId="1723" xr:uid="{B472F32F-E621-49C3-9798-CA9B02C29DDB}"/>
    <cellStyle name="Percent 81 2" xfId="1724" xr:uid="{5FF3409B-71C1-49B4-932F-0AC600F23C3A}"/>
    <cellStyle name="Percent 81 2 2" xfId="2561" xr:uid="{A555E966-B5AA-435D-85C0-D5C8F477DDB4}"/>
    <cellStyle name="Percent 81 2 3" xfId="2936" xr:uid="{B3A5CA15-6351-4678-A307-EC0CB6CD0DF1}"/>
    <cellStyle name="Percent 81 3" xfId="2560" xr:uid="{544D2BE7-43FA-4A6C-84D5-B1E7FD7D90AC}"/>
    <cellStyle name="Percent 81 4" xfId="2935" xr:uid="{AF276B98-E494-46DD-AD46-D4E8482892BC}"/>
    <cellStyle name="Percent 82" xfId="1725" xr:uid="{FC2AF9B8-1AE8-4740-B8B2-18097A59129C}"/>
    <cellStyle name="Percent 82 2" xfId="1726" xr:uid="{31044A55-1734-4C82-8EAC-AD1D1080973F}"/>
    <cellStyle name="Percent 82 2 2" xfId="2563" xr:uid="{5BF002EC-7B51-4D19-AF63-796012E14BB2}"/>
    <cellStyle name="Percent 82 2 3" xfId="2938" xr:uid="{0CDFF305-DDDE-4475-93DE-7367D9A9252C}"/>
    <cellStyle name="Percent 82 3" xfId="2562" xr:uid="{C15719D9-DF83-4158-BEC6-4039A8376195}"/>
    <cellStyle name="Percent 82 4" xfId="2937" xr:uid="{71A17551-F05F-4FC8-AAE2-C4C3352D87CB}"/>
    <cellStyle name="Percent 83" xfId="1727" xr:uid="{02CC6CAA-4B80-47DB-B830-8BF6E1C775E8}"/>
    <cellStyle name="Percent 83 2" xfId="1728" xr:uid="{4B8A27EB-EE78-4DC8-AC0E-DCACE828C01E}"/>
    <cellStyle name="Percent 83 2 2" xfId="2565" xr:uid="{6D726A42-0151-4F6E-A64B-0060AF3841B8}"/>
    <cellStyle name="Percent 83 2 3" xfId="2940" xr:uid="{626D949F-DFAC-427C-A849-32664F5707F2}"/>
    <cellStyle name="Percent 83 3" xfId="2564" xr:uid="{74E0EE56-5FAF-4C58-B682-ACB4FD7FF20D}"/>
    <cellStyle name="Percent 83 4" xfId="2939" xr:uid="{7C2E2F92-0648-4A58-A81E-2539CA69EF22}"/>
    <cellStyle name="Percent 84" xfId="1729" xr:uid="{D7BF9DA8-3863-4FE4-A291-6A161E350A68}"/>
    <cellStyle name="Percent 84 2" xfId="1730" xr:uid="{123E9FB8-A569-4C68-8A31-0194743E0F2B}"/>
    <cellStyle name="Percent 84 2 2" xfId="2567" xr:uid="{C9B8F6C9-1205-46FB-A6C5-58BA9973E409}"/>
    <cellStyle name="Percent 84 2 3" xfId="2942" xr:uid="{2A1193FC-3625-4BAC-B33A-6F7DCE18D243}"/>
    <cellStyle name="Percent 84 3" xfId="2566" xr:uid="{31127C75-D5E7-4D67-B18C-88E14A3F0ECA}"/>
    <cellStyle name="Percent 84 4" xfId="2941" xr:uid="{5CFF6853-F2CD-4E23-A62A-7EC14632B85E}"/>
    <cellStyle name="Percent 85" xfId="1731" xr:uid="{668664CB-C793-473C-960D-C10AD4DA6B51}"/>
    <cellStyle name="Percent 85 2" xfId="1732" xr:uid="{96EA7964-0D9B-483F-A51B-59988A7DED68}"/>
    <cellStyle name="Percent 85 2 2" xfId="2569" xr:uid="{6FB3B09F-DFFA-4E71-A288-F17226EA8CF2}"/>
    <cellStyle name="Percent 85 2 3" xfId="2944" xr:uid="{C17C98C6-9E1F-4FC6-8C5F-7AD3F901C6EC}"/>
    <cellStyle name="Percent 85 3" xfId="2568" xr:uid="{ABC822D3-4C56-41FB-8B6E-E192C9976130}"/>
    <cellStyle name="Percent 85 4" xfId="2943" xr:uid="{A48D8BD7-0ABF-4B26-B06F-3EF8A546106D}"/>
    <cellStyle name="Percent 86" xfId="1733" xr:uid="{90D97890-FF30-4D2B-9F1D-6495C73D933C}"/>
    <cellStyle name="Percent 86 2" xfId="1734" xr:uid="{014C63F4-2B36-40B7-8F30-FB682F716158}"/>
    <cellStyle name="Percent 86 2 2" xfId="2571" xr:uid="{DD9F16E1-EAD3-4DDC-8EF3-7FEC0576078D}"/>
    <cellStyle name="Percent 86 2 3" xfId="2946" xr:uid="{3773F260-1658-4E46-B0D3-CE78AF452B88}"/>
    <cellStyle name="Percent 86 3" xfId="2570" xr:uid="{3BE3D9EB-4620-41C5-B52C-DCB885AF20C2}"/>
    <cellStyle name="Percent 86 4" xfId="2945" xr:uid="{B3FCA49A-EC49-467D-9ABA-4C464F6EAD4F}"/>
    <cellStyle name="Percent 87" xfId="1735" xr:uid="{A667A77A-B3F4-4A73-83B7-E8B59E389590}"/>
    <cellStyle name="Percent 87 2" xfId="1736" xr:uid="{FCA3F595-F693-439A-9707-ACD56CA84BE2}"/>
    <cellStyle name="Percent 87 2 2" xfId="2573" xr:uid="{6C6110EC-E903-4976-BB20-C6C51C626D34}"/>
    <cellStyle name="Percent 87 2 3" xfId="2948" xr:uid="{5962E871-856B-4370-8C28-25168579B6E9}"/>
    <cellStyle name="Percent 87 3" xfId="2572" xr:uid="{5219EA74-46E0-4761-8E0B-D16D3FAFA7D4}"/>
    <cellStyle name="Percent 87 4" xfId="2947" xr:uid="{804C29D3-B30E-49D8-959A-73B23754EA7E}"/>
    <cellStyle name="Percent 88" xfId="1737" xr:uid="{0366B4F4-7BBB-414A-9466-558390882C8A}"/>
    <cellStyle name="Percent 88 2" xfId="1738" xr:uid="{53B1AF4B-A9D5-4219-A64E-4F2694F42E53}"/>
    <cellStyle name="Percent 88 2 2" xfId="2575" xr:uid="{795A71B4-BD2F-49AC-A1D4-685C4A5E869E}"/>
    <cellStyle name="Percent 88 2 3" xfId="2950" xr:uid="{E18C5564-08AE-4578-BF82-B070F4CEA80F}"/>
    <cellStyle name="Percent 88 3" xfId="2574" xr:uid="{7B03DC84-427F-4124-B175-E59FE164D79E}"/>
    <cellStyle name="Percent 88 4" xfId="2949" xr:uid="{6757734B-7B32-4B69-86C7-5EA506C85932}"/>
    <cellStyle name="Percent 89" xfId="1739" xr:uid="{7D463CF6-63EC-431B-8F35-A401DCD62EA0}"/>
    <cellStyle name="Percent 89 2" xfId="1740" xr:uid="{7C906D36-B9FF-4403-A01F-49A204874727}"/>
    <cellStyle name="Percent 89 2 2" xfId="2577" xr:uid="{8D129F2B-AB0F-4464-9F44-AD683A152014}"/>
    <cellStyle name="Percent 89 2 3" xfId="2952" xr:uid="{9DA19BDE-BD14-4B8E-B51F-F4B5262AA444}"/>
    <cellStyle name="Percent 89 3" xfId="2576" xr:uid="{E7BE2C47-7BE3-4CA5-B8B1-06D0FD3828CD}"/>
    <cellStyle name="Percent 89 4" xfId="2951" xr:uid="{E4D2EF45-5079-459F-9381-6AC6741490F0}"/>
    <cellStyle name="Percent 9" xfId="1741" xr:uid="{3FB21E1E-BD3B-46A8-B644-2C9BE18C90FB}"/>
    <cellStyle name="Percent 90" xfId="1742" xr:uid="{41D25098-32A3-4CB4-B838-49F872408BDC}"/>
    <cellStyle name="Percent 90 2" xfId="1743" xr:uid="{0C9C278C-F8AB-457B-99C4-B7AB5DE40AA9}"/>
    <cellStyle name="Percent 90 2 2" xfId="2579" xr:uid="{DF021C31-CD12-417A-9123-3C941F094E0B}"/>
    <cellStyle name="Percent 90 2 3" xfId="2954" xr:uid="{F2026FF4-23D1-4625-8056-EA4516747B72}"/>
    <cellStyle name="Percent 90 3" xfId="2578" xr:uid="{73483257-5FE0-4CD5-87A8-9F78CCE31912}"/>
    <cellStyle name="Percent 90 4" xfId="2953" xr:uid="{AEE66A5D-CF4C-4573-8B27-8C23F674220A}"/>
    <cellStyle name="Percent 91" xfId="1744" xr:uid="{CAF7EB8F-6539-4AA5-8F0C-1E8B539DB47D}"/>
    <cellStyle name="Percent 91 2" xfId="1745" xr:uid="{78B2AB3A-9ADF-46E8-AAE8-46742EF84E3E}"/>
    <cellStyle name="Percent 91 2 2" xfId="2581" xr:uid="{695A3AF8-DE10-4F9C-9FC2-A8FAF563DF76}"/>
    <cellStyle name="Percent 91 2 3" xfId="2956" xr:uid="{8C60AC56-DAF9-40A1-89A0-F7C076077EA1}"/>
    <cellStyle name="Percent 91 3" xfId="2580" xr:uid="{539C1485-A04F-4727-B2EA-C6179DC8E893}"/>
    <cellStyle name="Percent 91 4" xfId="2955" xr:uid="{C6A5EED4-3C5A-44F6-9DFB-A2CCE709B809}"/>
    <cellStyle name="Percent 92" xfId="1746" xr:uid="{BD2CFE35-E93D-4B77-A289-272A1A1D906A}"/>
    <cellStyle name="Percent 92 2" xfId="1747" xr:uid="{E4BD60FB-06AA-4E49-B848-240AD80535C3}"/>
    <cellStyle name="Percent 92 2 2" xfId="2583" xr:uid="{AF7B1A52-1078-43B9-8D57-E6A57DC24E84}"/>
    <cellStyle name="Percent 92 2 3" xfId="2958" xr:uid="{159E5C07-0535-40D5-B885-F0368D8E5271}"/>
    <cellStyle name="Percent 92 3" xfId="2582" xr:uid="{183917FF-171E-4189-B083-1FE75A92EADF}"/>
    <cellStyle name="Percent 92 4" xfId="2957" xr:uid="{FB474229-4EB0-433D-98EE-AAABFBA48DAE}"/>
    <cellStyle name="Percent 93" xfId="1748" xr:uid="{EF1AEA0A-D36A-42E1-8AA4-F926387F67E6}"/>
    <cellStyle name="Percent 93 2" xfId="1749" xr:uid="{6D4CC731-9F22-47D1-A3D6-DF035974ADDF}"/>
    <cellStyle name="Percent 93 2 2" xfId="2585" xr:uid="{139B95D8-B3CC-49D4-BF40-DA56C4ECE417}"/>
    <cellStyle name="Percent 93 2 3" xfId="2960" xr:uid="{670C38F3-ED43-4706-88AE-5A82BC418FD0}"/>
    <cellStyle name="Percent 93 3" xfId="2584" xr:uid="{0D430706-8E9F-46F0-AF8C-6841F430CF48}"/>
    <cellStyle name="Percent 93 4" xfId="2959" xr:uid="{15544967-D2EC-40FF-92EE-C0D2072D28D2}"/>
    <cellStyle name="Percent 94" xfId="1750" xr:uid="{E184E2E5-06A6-4A32-A991-EBD909B05200}"/>
    <cellStyle name="Percent 94 2" xfId="1751" xr:uid="{7678D86F-15FC-4DC4-A0A9-8AF782E35E02}"/>
    <cellStyle name="Percent 94 2 2" xfId="2587" xr:uid="{AE57287C-3B9A-4C02-BDCF-86037FDCD05E}"/>
    <cellStyle name="Percent 94 2 3" xfId="2962" xr:uid="{904F94BC-9FA6-408E-8310-0331BFFBFBC4}"/>
    <cellStyle name="Percent 94 3" xfId="2586" xr:uid="{AFABCAFE-D70A-4E27-B543-50326D615EAE}"/>
    <cellStyle name="Percent 94 4" xfId="2961" xr:uid="{BF127067-DF41-4A20-BB6E-1C023E5A432D}"/>
    <cellStyle name="Percent 95" xfId="1752" xr:uid="{324953C5-81DB-478E-9F52-24F2FFBBDEB9}"/>
    <cellStyle name="Percent 95 2" xfId="2588" xr:uid="{AD53889C-EAE1-4DF2-AC3C-A35F2FBD0989}"/>
    <cellStyle name="Percent 95 3" xfId="2963" xr:uid="{94C1D83C-1210-4CF8-94EE-5E357D35A63C}"/>
    <cellStyle name="Percent 96" xfId="1753" xr:uid="{9803A25D-41DC-4D29-B0C2-C69A43CC35FE}"/>
    <cellStyle name="Percent 96 2" xfId="2589" xr:uid="{2C807AEF-A59C-45AA-8E8C-24BB79D7CD18}"/>
    <cellStyle name="Percent 96 3" xfId="2964" xr:uid="{519002AB-F2A3-4A9F-A705-0D4EEFFE371E}"/>
    <cellStyle name="Percent 97" xfId="1754" xr:uid="{7D1D6426-25AA-4ECD-956D-D00CCDBA137A}"/>
    <cellStyle name="Percent 97 2" xfId="2590" xr:uid="{B93DBA29-5C46-4C7F-AA28-47C11D96B91B}"/>
    <cellStyle name="Percent 97 3" xfId="2965" xr:uid="{66BC8B35-8DA6-45C6-90AF-BB2DAA634921}"/>
    <cellStyle name="Percent 98" xfId="1755" xr:uid="{2A85BCE8-0D11-41E7-9F53-54E22BA5FE3C}"/>
    <cellStyle name="Percent 98 2" xfId="2591" xr:uid="{82F3CCDC-A82B-477C-ABB9-482AF7FA170C}"/>
    <cellStyle name="Percent 98 3" xfId="2966" xr:uid="{C1F5BE28-4D21-4468-9098-6E700C0708E8}"/>
    <cellStyle name="Percent 99" xfId="1756" xr:uid="{B9D533D5-AC35-4F44-9089-9880FF3E5491}"/>
    <cellStyle name="Percent 99 2" xfId="2592" xr:uid="{ADE9C98A-5EAB-4AB8-9078-217A75730889}"/>
    <cellStyle name="Percent 99 3" xfId="2967" xr:uid="{7A9ACA07-D294-4BB0-BCF9-9AD5AEBFA57D}"/>
    <cellStyle name="regstoresfromspecstores" xfId="1757" xr:uid="{8F2CB9FA-E678-4CB4-81B5-4011952DA171}"/>
    <cellStyle name="RevList" xfId="1758" xr:uid="{FE799F2D-48D6-40C6-A331-6538D9E5E09A}"/>
    <cellStyle name="SHADEDSTORES" xfId="1759" xr:uid="{794BAF1C-5AFC-4B4E-91C0-30C7804E92C9}"/>
    <cellStyle name="SHADEDSTORES 2" xfId="3012" xr:uid="{E9ECFBDC-2AE5-4B81-8FC0-AC0CDD1C372A}"/>
    <cellStyle name="SHADEDSTORES 2 2" xfId="3030" xr:uid="{E684185D-5BCA-4F84-A7C4-ED5F50996C4F}"/>
    <cellStyle name="SHADEDSTORES 3" xfId="3003" xr:uid="{C91B287C-68E6-4D53-A68B-680F1DB51B30}"/>
    <cellStyle name="SHADEDSTORES 3 2" xfId="3025" xr:uid="{6858C4AE-C61E-4ADB-827B-2A0EFFD9C90E}"/>
    <cellStyle name="SHADEDSTORES 4" xfId="2968" xr:uid="{5FA07A46-9924-4FB0-A35B-37A01159461D}"/>
    <cellStyle name="SHADEDSTORES 4 2" xfId="3023" xr:uid="{4B0EB517-DE3B-4862-A2BA-BF060ACCE8FA}"/>
    <cellStyle name="SHADEDSTORES 5" xfId="3019" xr:uid="{15421D79-A3A3-4AE4-B147-5645FE372708}"/>
    <cellStyle name="specstores" xfId="1760" xr:uid="{847F69B6-D1FD-46B5-9590-36383628B5CF}"/>
    <cellStyle name="Style 1" xfId="1761" xr:uid="{828C7366-8DD0-4E46-B811-51E3F1BC37B1}"/>
    <cellStyle name="Subtotal" xfId="1762" xr:uid="{6F4E1AE1-0E8B-43B5-AC08-0D37CDF2A7A6}"/>
    <cellStyle name="Title 2" xfId="1763" xr:uid="{69BD9E4B-F4E8-4A43-8DEC-FDE3C30C5E18}"/>
    <cellStyle name="Title 2 2" xfId="1764" xr:uid="{9A87A27D-F35C-415F-B698-228AEA031AF6}"/>
    <cellStyle name="Title 2 3" xfId="1765" xr:uid="{EDD004BA-7FD1-464F-9DEA-B3975FA20AB9}"/>
    <cellStyle name="Title 3" xfId="1766" xr:uid="{06472EA5-9AD4-4B9C-A948-4D9D798C7CFB}"/>
    <cellStyle name="Total 2" xfId="1767" xr:uid="{DCBDECE9-0A6A-476B-82AE-B3D201DE5750}"/>
    <cellStyle name="Total 2 2" xfId="3015" xr:uid="{9F12429F-1316-4715-B2D4-FEA47E4CC55F}"/>
    <cellStyle name="Total 2 3" xfId="3013" xr:uid="{5455E08E-0589-481B-BC68-6782692085AC}"/>
    <cellStyle name="Total 2 4" xfId="2969" xr:uid="{BBCD618D-DE1D-465A-9FE1-ED7820225F52}"/>
    <cellStyle name="Total 3" xfId="1768" xr:uid="{32ED9357-F201-4E2C-BE83-C11F181F4189}"/>
    <cellStyle name="Total 3 2" xfId="3016" xr:uid="{DF6B89D3-8157-45E5-89D0-A48EF86EA0D6}"/>
    <cellStyle name="Total 3 3" xfId="3014" xr:uid="{C492EC13-8135-4BA2-BF7F-A76D0E8C2F9C}"/>
    <cellStyle name="Total 3 4" xfId="2970" xr:uid="{F06DEC8F-8FD2-471D-B2E7-3C6A93249DE9}"/>
    <cellStyle name="Warning Text 2" xfId="1769" xr:uid="{AD28474D-69B1-4574-9EE4-EB0582460535}"/>
    <cellStyle name="Warning Text 3" xfId="1770" xr:uid="{CDCA8CBC-16EC-4B03-B755-AC54BC0BF87F}"/>
    <cellStyle name="一般_AF081021124V01CQ01(349EGB3685)" xfId="3071" xr:uid="{77509E9F-BF02-4F94-8394-91AC53EE3B2A}"/>
    <cellStyle name="樣式 1" xfId="3072" xr:uid="{A011C8E8-57C6-422F-9CD5-1ECD3D967619}"/>
  </cellStyles>
  <dxfs count="12">
    <dxf>
      <numFmt numFmtId="168" formatCode="_(* #,##0_);_(* \(#,##0\);_(* &quot;-&quot;??_);_(@_)"/>
    </dxf>
    <dxf>
      <numFmt numFmtId="168" formatCode="_(* #,##0_);_(* \(#,##0\);_(* &quot;-&quot;??_);_(@_)"/>
    </dxf>
    <dxf>
      <numFmt numFmtId="168" formatCode="_(* #,##0_);_(* \(#,##0\);_(* &quot;-&quot;??_);_(@_)"/>
    </dxf>
    <dxf>
      <numFmt numFmtId="168" formatCode="_(* #,##0_);_(* \(#,##0\);_(* &quot;-&quot;??_);_(@_)"/>
    </dxf>
    <dxf>
      <numFmt numFmtId="168" formatCode="_(* #,##0_);_(* \(#,##0\);_(* &quot;-&quot;??_);_(@_)"/>
    </dxf>
    <dxf>
      <numFmt numFmtId="168" formatCode="_(* #,##0_);_(* \(#,##0\);_(* &quot;-&quot;??_);_(@_)"/>
    </dxf>
    <dxf>
      <numFmt numFmtId="19" formatCode="m/d/yyyy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border>
        <top style="double">
          <color auto="1"/>
        </top>
        <bottom style="double">
          <color auto="1"/>
        </bottom>
      </border>
    </dxf>
    <dxf>
      <fill>
        <patternFill>
          <bgColor theme="0" tint="-0.14996795556505021"/>
        </patternFill>
      </fill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</border>
    </dxf>
  </dxfs>
  <tableStyles count="2" defaultTableStyle="TableStyleMedium2" defaultPivotStyle="PivotStyleLight16">
    <tableStyle name="Invisible" pivot="0" table="0" count="0" xr9:uid="{BD5DF36F-04C5-4C4D-91A4-F838ECC3C128}"/>
    <tableStyle name="PivotTable Style 1" table="0" count="2" xr9:uid="{06DC42EE-8EEF-4BED-B6A7-6BF38ECA3C6B}"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EA1BBD2-FB00-4C54-8FC4-F2DCE4ED5FCA}" name="Table6" displayName="Table6" ref="B2:I663" totalsRowShown="0" headerRowDxfId="9" headerRowBorderDxfId="8" tableBorderDxfId="7">
  <autoFilter ref="B2:I663" xr:uid="{BEA1BBD2-FB00-4C54-8FC4-F2DCE4ED5FCA}"/>
  <tableColumns count="8">
    <tableColumn id="1" xr3:uid="{5AF627AE-FE8E-4D55-BBA9-C85856C03F0C}" name="WE" dataDxfId="6"/>
    <tableColumn id="2" xr3:uid="{53ED8069-A2E8-4730-A398-9EE29330B7BC}" name="AREA"/>
    <tableColumn id="3" xr3:uid="{8F0CD5F0-87DA-4763-BD20-22F1C015DDFA}" name="Product" dataDxfId="5" dataCellStyle="Comma"/>
    <tableColumn id="4" xr3:uid="{4F4E2F05-7F1F-432C-955E-65B4F408EE3F}" name="Process" dataDxfId="4" dataCellStyle="Comma"/>
    <tableColumn id="5" xr3:uid="{888D95C5-6A61-4EF5-8CCB-A4421605153D}" name="System" dataDxfId="3" dataCellStyle="Comma"/>
    <tableColumn id="6" xr3:uid="{1A7255AE-1F62-4E05-908B-101FA9D9C208}" name="Area Kerja" dataDxfId="2" dataCellStyle="Comma"/>
    <tableColumn id="7" xr3:uid="{85F404B0-A36A-4B5A-9AC1-CF5234D3833B}" name="PROCESS SCORE" dataDxfId="1" dataCellStyle="Comma"/>
    <tableColumn id="8" xr3:uid="{D985225D-0642-4CF1-AF47-74017BC7C871}" name="STANDARD 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78847-B7B0-43AD-929A-25E2B1A31DCB}">
  <dimension ref="B2:I663"/>
  <sheetViews>
    <sheetView tabSelected="1" topLeftCell="A646" workbookViewId="0">
      <selection activeCell="D663" sqref="D663"/>
    </sheetView>
  </sheetViews>
  <sheetFormatPr defaultRowHeight="14.5"/>
  <cols>
    <col min="2" max="2" width="9.453125" bestFit="1" customWidth="1"/>
    <col min="3" max="3" width="19.36328125" bestFit="1" customWidth="1"/>
    <col min="4" max="5" width="11.81640625" bestFit="1" customWidth="1"/>
    <col min="6" max="6" width="8.81640625" customWidth="1"/>
    <col min="7" max="7" width="11.81640625" bestFit="1" customWidth="1"/>
    <col min="8" max="8" width="16.1796875" customWidth="1"/>
    <col min="9" max="9" width="12.453125" customWidth="1"/>
  </cols>
  <sheetData>
    <row r="2" spans="2:9">
      <c r="B2" s="16" t="s">
        <v>1</v>
      </c>
      <c r="C2" s="11" t="s">
        <v>43</v>
      </c>
      <c r="D2" s="11" t="s">
        <v>3</v>
      </c>
      <c r="E2" s="11" t="s">
        <v>0</v>
      </c>
      <c r="F2" s="11" t="s">
        <v>23</v>
      </c>
      <c r="G2" s="11" t="s">
        <v>44</v>
      </c>
      <c r="H2" s="11" t="s">
        <v>45</v>
      </c>
      <c r="I2" s="17" t="s">
        <v>46</v>
      </c>
    </row>
    <row r="3" spans="2:9">
      <c r="B3" s="1">
        <v>46025</v>
      </c>
      <c r="C3" s="12" t="s">
        <v>2</v>
      </c>
      <c r="D3" s="18">
        <v>19</v>
      </c>
      <c r="E3" s="18">
        <v>26.23076923076923</v>
      </c>
      <c r="F3" s="18">
        <v>18.75</v>
      </c>
      <c r="G3" s="18">
        <v>25</v>
      </c>
      <c r="H3" s="18">
        <v>88.980769230769226</v>
      </c>
      <c r="I3" s="19">
        <v>95</v>
      </c>
    </row>
    <row r="4" spans="2:9">
      <c r="B4" s="2">
        <v>46025</v>
      </c>
      <c r="C4" s="13" t="s">
        <v>5</v>
      </c>
      <c r="D4" s="20">
        <v>15.833333333333334</v>
      </c>
      <c r="E4" s="20">
        <v>31</v>
      </c>
      <c r="F4" s="20">
        <v>25</v>
      </c>
      <c r="G4" s="20">
        <v>25</v>
      </c>
      <c r="H4" s="20">
        <v>96.833333333333343</v>
      </c>
      <c r="I4" s="21">
        <v>95</v>
      </c>
    </row>
    <row r="5" spans="2:9">
      <c r="B5" s="1">
        <v>46025</v>
      </c>
      <c r="C5" s="12" t="s">
        <v>7</v>
      </c>
      <c r="D5" s="18">
        <v>19</v>
      </c>
      <c r="E5" s="18">
        <v>31</v>
      </c>
      <c r="F5" s="18">
        <v>25</v>
      </c>
      <c r="G5" s="18">
        <v>22.727272727272727</v>
      </c>
      <c r="H5" s="18">
        <v>97.72727272727272</v>
      </c>
      <c r="I5" s="19">
        <v>95</v>
      </c>
    </row>
    <row r="6" spans="2:9">
      <c r="B6" s="2">
        <v>46025</v>
      </c>
      <c r="C6" s="13" t="s">
        <v>11</v>
      </c>
      <c r="D6" s="20">
        <v>15.833333333333334</v>
      </c>
      <c r="E6" s="20">
        <v>28.615384615384617</v>
      </c>
      <c r="F6" s="20">
        <v>25</v>
      </c>
      <c r="G6" s="20">
        <v>25</v>
      </c>
      <c r="H6" s="20">
        <v>94.448717948717956</v>
      </c>
      <c r="I6" s="21">
        <v>95</v>
      </c>
    </row>
    <row r="7" spans="2:9">
      <c r="B7" s="1">
        <v>46025</v>
      </c>
      <c r="C7" s="12" t="s">
        <v>12</v>
      </c>
      <c r="D7" s="18">
        <v>19</v>
      </c>
      <c r="E7" s="18">
        <v>31</v>
      </c>
      <c r="F7" s="18">
        <v>25</v>
      </c>
      <c r="G7" s="18">
        <v>22.727272727272727</v>
      </c>
      <c r="H7" s="18">
        <v>97.72727272727272</v>
      </c>
      <c r="I7" s="19">
        <v>95</v>
      </c>
    </row>
    <row r="8" spans="2:9">
      <c r="B8" s="2">
        <v>46025</v>
      </c>
      <c r="C8" s="13" t="s">
        <v>13</v>
      </c>
      <c r="D8" s="20">
        <v>19</v>
      </c>
      <c r="E8" s="20">
        <v>28.615384615384617</v>
      </c>
      <c r="F8" s="20">
        <v>25</v>
      </c>
      <c r="G8" s="20">
        <v>25</v>
      </c>
      <c r="H8" s="20">
        <v>97.615384615384613</v>
      </c>
      <c r="I8" s="21">
        <v>95</v>
      </c>
    </row>
    <row r="9" spans="2:9">
      <c r="B9" s="1">
        <v>46025</v>
      </c>
      <c r="C9" s="12" t="s">
        <v>6</v>
      </c>
      <c r="D9" s="18">
        <v>19</v>
      </c>
      <c r="E9" s="18">
        <v>31</v>
      </c>
      <c r="F9" s="18">
        <v>25</v>
      </c>
      <c r="G9" s="18">
        <v>25</v>
      </c>
      <c r="H9" s="18">
        <v>100</v>
      </c>
      <c r="I9" s="19">
        <v>95</v>
      </c>
    </row>
    <row r="10" spans="2:9">
      <c r="B10" s="2">
        <v>46025</v>
      </c>
      <c r="C10" s="13" t="s">
        <v>14</v>
      </c>
      <c r="D10" s="20">
        <v>19</v>
      </c>
      <c r="E10" s="20">
        <v>28.615384615384617</v>
      </c>
      <c r="F10" s="20">
        <v>21.875</v>
      </c>
      <c r="G10" s="20">
        <v>25</v>
      </c>
      <c r="H10" s="20">
        <v>94.490384615384613</v>
      </c>
      <c r="I10" s="21">
        <v>95</v>
      </c>
    </row>
    <row r="11" spans="2:9">
      <c r="B11" s="1">
        <v>46025</v>
      </c>
      <c r="C11" s="12" t="s">
        <v>4</v>
      </c>
      <c r="D11" s="18">
        <v>12.666666666666666</v>
      </c>
      <c r="E11" s="18">
        <v>28.615384615384617</v>
      </c>
      <c r="F11" s="18">
        <v>18.75</v>
      </c>
      <c r="G11" s="18">
        <v>22.727272727272727</v>
      </c>
      <c r="H11" s="18">
        <v>82.759324009324018</v>
      </c>
      <c r="I11" s="19">
        <v>95</v>
      </c>
    </row>
    <row r="12" spans="2:9">
      <c r="B12" s="2">
        <v>46025</v>
      </c>
      <c r="C12" s="13" t="s">
        <v>8</v>
      </c>
      <c r="D12" s="20">
        <v>19</v>
      </c>
      <c r="E12" s="20">
        <v>28.615384615384617</v>
      </c>
      <c r="F12" s="20">
        <v>25</v>
      </c>
      <c r="G12" s="20">
        <v>25</v>
      </c>
      <c r="H12" s="20">
        <v>97.615384615384613</v>
      </c>
      <c r="I12" s="21">
        <v>95</v>
      </c>
    </row>
    <row r="13" spans="2:9">
      <c r="B13" s="1">
        <v>46025</v>
      </c>
      <c r="C13" s="12" t="s">
        <v>15</v>
      </c>
      <c r="D13" s="18">
        <v>19</v>
      </c>
      <c r="E13" s="18">
        <v>28.615384615384617</v>
      </c>
      <c r="F13" s="18">
        <v>25</v>
      </c>
      <c r="G13" s="18">
        <v>25</v>
      </c>
      <c r="H13" s="18">
        <v>97.615384615384613</v>
      </c>
      <c r="I13" s="19">
        <v>95</v>
      </c>
    </row>
    <row r="14" spans="2:9">
      <c r="B14" s="2">
        <v>46025</v>
      </c>
      <c r="C14" s="13" t="s">
        <v>16</v>
      </c>
      <c r="D14" s="20">
        <v>19</v>
      </c>
      <c r="E14" s="20">
        <v>31</v>
      </c>
      <c r="F14" s="20">
        <v>25</v>
      </c>
      <c r="G14" s="20">
        <v>25</v>
      </c>
      <c r="H14" s="20">
        <v>100</v>
      </c>
      <c r="I14" s="21">
        <v>95</v>
      </c>
    </row>
    <row r="15" spans="2:9">
      <c r="B15" s="1">
        <v>46025</v>
      </c>
      <c r="C15" s="12" t="s">
        <v>18</v>
      </c>
      <c r="D15" s="18">
        <v>19</v>
      </c>
      <c r="E15" s="18">
        <v>31</v>
      </c>
      <c r="F15" s="18">
        <v>25</v>
      </c>
      <c r="G15" s="18">
        <v>25</v>
      </c>
      <c r="H15" s="18">
        <v>100</v>
      </c>
      <c r="I15" s="19">
        <v>95</v>
      </c>
    </row>
    <row r="16" spans="2:9">
      <c r="B16" s="2">
        <v>46025</v>
      </c>
      <c r="C16" s="13" t="s">
        <v>19</v>
      </c>
      <c r="D16" s="20">
        <v>19</v>
      </c>
      <c r="E16" s="20">
        <v>31</v>
      </c>
      <c r="F16" s="20">
        <v>25</v>
      </c>
      <c r="G16" s="20">
        <v>25</v>
      </c>
      <c r="H16" s="20">
        <v>100</v>
      </c>
      <c r="I16" s="21">
        <v>95</v>
      </c>
    </row>
    <row r="17" spans="2:9">
      <c r="B17" s="1">
        <v>46025</v>
      </c>
      <c r="C17" s="12" t="s">
        <v>17</v>
      </c>
      <c r="D17" s="18">
        <v>19</v>
      </c>
      <c r="E17" s="18">
        <v>31</v>
      </c>
      <c r="F17" s="18">
        <v>21.875</v>
      </c>
      <c r="G17" s="18">
        <v>25</v>
      </c>
      <c r="H17" s="18">
        <v>96.875</v>
      </c>
      <c r="I17" s="19">
        <v>95</v>
      </c>
    </row>
    <row r="18" spans="2:9">
      <c r="B18" s="2">
        <v>46032</v>
      </c>
      <c r="C18" s="13" t="s">
        <v>2</v>
      </c>
      <c r="D18" s="20">
        <v>19</v>
      </c>
      <c r="E18" s="20">
        <v>31</v>
      </c>
      <c r="F18" s="20">
        <v>21.875</v>
      </c>
      <c r="G18" s="20">
        <v>25</v>
      </c>
      <c r="H18" s="20">
        <v>96.875</v>
      </c>
      <c r="I18" s="21">
        <v>95</v>
      </c>
    </row>
    <row r="19" spans="2:9">
      <c r="B19" s="1">
        <v>46032</v>
      </c>
      <c r="C19" s="12" t="s">
        <v>5</v>
      </c>
      <c r="D19" s="18">
        <v>19</v>
      </c>
      <c r="E19" s="18">
        <v>26.23076923076923</v>
      </c>
      <c r="F19" s="18">
        <v>21.875</v>
      </c>
      <c r="G19" s="18">
        <v>25</v>
      </c>
      <c r="H19" s="18">
        <v>92.105769230769226</v>
      </c>
      <c r="I19" s="19">
        <v>95</v>
      </c>
    </row>
    <row r="20" spans="2:9">
      <c r="B20" s="2">
        <v>46032</v>
      </c>
      <c r="C20" s="13" t="s">
        <v>7</v>
      </c>
      <c r="D20" s="20">
        <v>19</v>
      </c>
      <c r="E20" s="20">
        <v>31</v>
      </c>
      <c r="F20" s="20">
        <v>25</v>
      </c>
      <c r="G20" s="20">
        <v>22.727272727272727</v>
      </c>
      <c r="H20" s="20">
        <v>97.72727272727272</v>
      </c>
      <c r="I20" s="21">
        <v>95</v>
      </c>
    </row>
    <row r="21" spans="2:9">
      <c r="B21" s="1">
        <v>46032</v>
      </c>
      <c r="C21" s="12" t="s">
        <v>11</v>
      </c>
      <c r="D21" s="18">
        <v>19</v>
      </c>
      <c r="E21" s="18">
        <v>31</v>
      </c>
      <c r="F21" s="18">
        <v>25</v>
      </c>
      <c r="G21" s="18">
        <v>25</v>
      </c>
      <c r="H21" s="18">
        <v>100</v>
      </c>
      <c r="I21" s="19">
        <v>95</v>
      </c>
    </row>
    <row r="22" spans="2:9">
      <c r="B22" s="2">
        <v>46032</v>
      </c>
      <c r="C22" s="13" t="s">
        <v>12</v>
      </c>
      <c r="D22" s="20">
        <v>19</v>
      </c>
      <c r="E22" s="20">
        <v>31</v>
      </c>
      <c r="F22" s="20">
        <v>21.875</v>
      </c>
      <c r="G22" s="20">
        <v>25</v>
      </c>
      <c r="H22" s="20">
        <v>96.875</v>
      </c>
      <c r="I22" s="21">
        <v>95</v>
      </c>
    </row>
    <row r="23" spans="2:9">
      <c r="B23" s="1">
        <v>46032</v>
      </c>
      <c r="C23" s="12" t="s">
        <v>13</v>
      </c>
      <c r="D23" s="18">
        <v>15.833333333333334</v>
      </c>
      <c r="E23" s="18">
        <v>28.615384615384617</v>
      </c>
      <c r="F23" s="18">
        <v>25</v>
      </c>
      <c r="G23" s="18">
        <v>25</v>
      </c>
      <c r="H23" s="18">
        <v>94.448717948717956</v>
      </c>
      <c r="I23" s="19">
        <v>95</v>
      </c>
    </row>
    <row r="24" spans="2:9">
      <c r="B24" s="2">
        <v>46032</v>
      </c>
      <c r="C24" s="13" t="s">
        <v>6</v>
      </c>
      <c r="D24" s="20">
        <v>19</v>
      </c>
      <c r="E24" s="20">
        <v>28.615384615384617</v>
      </c>
      <c r="F24" s="20">
        <v>25</v>
      </c>
      <c r="G24" s="20">
        <v>25</v>
      </c>
      <c r="H24" s="20">
        <v>97.615384615384613</v>
      </c>
      <c r="I24" s="21">
        <v>95</v>
      </c>
    </row>
    <row r="25" spans="2:9">
      <c r="B25" s="1">
        <v>46032</v>
      </c>
      <c r="C25" s="12" t="s">
        <v>14</v>
      </c>
      <c r="D25" s="18">
        <v>12.666666666666666</v>
      </c>
      <c r="E25" s="18">
        <v>28.615384615384617</v>
      </c>
      <c r="F25" s="18">
        <v>21.875</v>
      </c>
      <c r="G25" s="18">
        <v>25</v>
      </c>
      <c r="H25" s="18">
        <v>88.157051282051285</v>
      </c>
      <c r="I25" s="19">
        <v>95</v>
      </c>
    </row>
    <row r="26" spans="2:9">
      <c r="B26" s="2">
        <v>46032</v>
      </c>
      <c r="C26" s="13" t="s">
        <v>4</v>
      </c>
      <c r="D26" s="20">
        <v>15.833333333333334</v>
      </c>
      <c r="E26" s="20">
        <v>31</v>
      </c>
      <c r="F26" s="20">
        <v>18.75</v>
      </c>
      <c r="G26" s="20">
        <v>22.727272727272727</v>
      </c>
      <c r="H26" s="20">
        <v>88.310606060606062</v>
      </c>
      <c r="I26" s="21">
        <v>95</v>
      </c>
    </row>
    <row r="27" spans="2:9">
      <c r="B27" s="1">
        <v>46032</v>
      </c>
      <c r="C27" s="12" t="s">
        <v>8</v>
      </c>
      <c r="D27" s="18">
        <v>19</v>
      </c>
      <c r="E27" s="18">
        <v>26.23076923076923</v>
      </c>
      <c r="F27" s="18">
        <v>25</v>
      </c>
      <c r="G27" s="18">
        <v>22.727272727272727</v>
      </c>
      <c r="H27" s="18">
        <v>92.958041958041946</v>
      </c>
      <c r="I27" s="19">
        <v>95</v>
      </c>
    </row>
    <row r="28" spans="2:9">
      <c r="B28" s="2">
        <v>46032</v>
      </c>
      <c r="C28" s="13" t="s">
        <v>15</v>
      </c>
      <c r="D28" s="20">
        <v>19</v>
      </c>
      <c r="E28" s="20">
        <v>31</v>
      </c>
      <c r="F28" s="20">
        <v>25</v>
      </c>
      <c r="G28" s="20">
        <v>22.727272727272727</v>
      </c>
      <c r="H28" s="20">
        <v>97.72727272727272</v>
      </c>
      <c r="I28" s="21">
        <v>95</v>
      </c>
    </row>
    <row r="29" spans="2:9">
      <c r="B29" s="1">
        <v>46032</v>
      </c>
      <c r="C29" s="12" t="s">
        <v>16</v>
      </c>
      <c r="D29" s="18">
        <v>19</v>
      </c>
      <c r="E29" s="18">
        <v>28.615384615384617</v>
      </c>
      <c r="F29" s="18">
        <v>25</v>
      </c>
      <c r="G29" s="18">
        <v>22.727272727272727</v>
      </c>
      <c r="H29" s="18">
        <v>95.342657342657333</v>
      </c>
      <c r="I29" s="19">
        <v>95</v>
      </c>
    </row>
    <row r="30" spans="2:9">
      <c r="B30" s="2">
        <v>46032</v>
      </c>
      <c r="C30" s="13" t="s">
        <v>18</v>
      </c>
      <c r="D30" s="20">
        <v>19</v>
      </c>
      <c r="E30" s="20">
        <v>28.615384615384617</v>
      </c>
      <c r="F30" s="20">
        <v>25</v>
      </c>
      <c r="G30" s="20">
        <v>25</v>
      </c>
      <c r="H30" s="20">
        <v>97.615384615384613</v>
      </c>
      <c r="I30" s="21">
        <v>95</v>
      </c>
    </row>
    <row r="31" spans="2:9">
      <c r="B31" s="1">
        <v>46032</v>
      </c>
      <c r="C31" s="12" t="s">
        <v>19</v>
      </c>
      <c r="D31" s="18">
        <v>19</v>
      </c>
      <c r="E31" s="18">
        <v>31</v>
      </c>
      <c r="F31" s="18">
        <v>25</v>
      </c>
      <c r="G31" s="18">
        <v>25</v>
      </c>
      <c r="H31" s="18">
        <v>100</v>
      </c>
      <c r="I31" s="19">
        <v>95</v>
      </c>
    </row>
    <row r="32" spans="2:9">
      <c r="B32" s="2">
        <v>46032</v>
      </c>
      <c r="C32" s="13" t="s">
        <v>17</v>
      </c>
      <c r="D32" s="20">
        <v>19</v>
      </c>
      <c r="E32" s="20">
        <v>28.615384615384617</v>
      </c>
      <c r="F32" s="20">
        <v>18.75</v>
      </c>
      <c r="G32" s="20">
        <v>20.454545454545457</v>
      </c>
      <c r="H32" s="20">
        <v>86.819930069930066</v>
      </c>
      <c r="I32" s="21">
        <v>95</v>
      </c>
    </row>
    <row r="33" spans="2:9">
      <c r="B33" s="1">
        <v>46039</v>
      </c>
      <c r="C33" s="12" t="s">
        <v>2</v>
      </c>
      <c r="D33" s="18">
        <v>19</v>
      </c>
      <c r="E33" s="18">
        <v>28.615384615384617</v>
      </c>
      <c r="F33" s="18">
        <v>18.75</v>
      </c>
      <c r="G33" s="18">
        <v>25</v>
      </c>
      <c r="H33" s="18">
        <v>91.365384615384613</v>
      </c>
      <c r="I33" s="19">
        <v>95</v>
      </c>
    </row>
    <row r="34" spans="2:9">
      <c r="B34" s="2">
        <v>46039</v>
      </c>
      <c r="C34" s="13" t="s">
        <v>5</v>
      </c>
      <c r="D34" s="20">
        <v>19</v>
      </c>
      <c r="E34" s="20">
        <v>28.615384615384617</v>
      </c>
      <c r="F34" s="20">
        <v>25</v>
      </c>
      <c r="G34" s="20">
        <v>22.727272727272727</v>
      </c>
      <c r="H34" s="20">
        <v>95.342657342657333</v>
      </c>
      <c r="I34" s="21">
        <v>95</v>
      </c>
    </row>
    <row r="35" spans="2:9">
      <c r="B35" s="1">
        <v>46039</v>
      </c>
      <c r="C35" s="12" t="s">
        <v>7</v>
      </c>
      <c r="D35" s="18">
        <v>15.833333333333334</v>
      </c>
      <c r="E35" s="18">
        <v>28.615384615384617</v>
      </c>
      <c r="F35" s="18">
        <v>25</v>
      </c>
      <c r="G35" s="18">
        <v>22.727272727272727</v>
      </c>
      <c r="H35" s="18">
        <v>92.175990675990676</v>
      </c>
      <c r="I35" s="19">
        <v>95</v>
      </c>
    </row>
    <row r="36" spans="2:9">
      <c r="B36" s="2">
        <v>46039</v>
      </c>
      <c r="C36" s="13" t="s">
        <v>11</v>
      </c>
      <c r="D36" s="20">
        <v>19</v>
      </c>
      <c r="E36" s="20">
        <v>31</v>
      </c>
      <c r="F36" s="20">
        <v>25</v>
      </c>
      <c r="G36" s="20">
        <v>25</v>
      </c>
      <c r="H36" s="20">
        <v>100</v>
      </c>
      <c r="I36" s="21">
        <v>95</v>
      </c>
    </row>
    <row r="37" spans="2:9">
      <c r="B37" s="1">
        <v>46039</v>
      </c>
      <c r="C37" s="12" t="s">
        <v>12</v>
      </c>
      <c r="D37" s="18">
        <v>19</v>
      </c>
      <c r="E37" s="18">
        <v>28.615384615384617</v>
      </c>
      <c r="F37" s="18">
        <v>25</v>
      </c>
      <c r="G37" s="18">
        <v>22.727272727272727</v>
      </c>
      <c r="H37" s="18">
        <v>95.342657342657333</v>
      </c>
      <c r="I37" s="19">
        <v>95</v>
      </c>
    </row>
    <row r="38" spans="2:9">
      <c r="B38" s="2">
        <v>46039</v>
      </c>
      <c r="C38" s="13" t="s">
        <v>13</v>
      </c>
      <c r="D38" s="20">
        <v>12.666666666666666</v>
      </c>
      <c r="E38" s="20">
        <v>28.615384615384617</v>
      </c>
      <c r="F38" s="20">
        <v>21.875</v>
      </c>
      <c r="G38" s="20">
        <v>25</v>
      </c>
      <c r="H38" s="20">
        <v>88.157051282051285</v>
      </c>
      <c r="I38" s="21">
        <v>95</v>
      </c>
    </row>
    <row r="39" spans="2:9">
      <c r="B39" s="1">
        <v>46039</v>
      </c>
      <c r="C39" s="12" t="s">
        <v>6</v>
      </c>
      <c r="D39" s="18">
        <v>15.833333333333334</v>
      </c>
      <c r="E39" s="18">
        <v>28.615384615384617</v>
      </c>
      <c r="F39" s="18">
        <v>25</v>
      </c>
      <c r="G39" s="18">
        <v>25</v>
      </c>
      <c r="H39" s="18">
        <v>94.448717948717956</v>
      </c>
      <c r="I39" s="19">
        <v>95</v>
      </c>
    </row>
    <row r="40" spans="2:9">
      <c r="B40" s="2">
        <v>46039</v>
      </c>
      <c r="C40" s="13" t="s">
        <v>14</v>
      </c>
      <c r="D40" s="20">
        <v>15.833333333333334</v>
      </c>
      <c r="E40" s="20">
        <v>28.615384615384617</v>
      </c>
      <c r="F40" s="20">
        <v>21.875</v>
      </c>
      <c r="G40" s="20">
        <v>25</v>
      </c>
      <c r="H40" s="20">
        <v>91.323717948717956</v>
      </c>
      <c r="I40" s="21">
        <v>95</v>
      </c>
    </row>
    <row r="41" spans="2:9">
      <c r="B41" s="1">
        <v>46039</v>
      </c>
      <c r="C41" s="12" t="s">
        <v>4</v>
      </c>
      <c r="D41" s="18">
        <v>15.833333333333334</v>
      </c>
      <c r="E41" s="18">
        <v>28.615384615384617</v>
      </c>
      <c r="F41" s="18">
        <v>21.875</v>
      </c>
      <c r="G41" s="18">
        <v>22.727272727272727</v>
      </c>
      <c r="H41" s="18">
        <v>89.050990675990676</v>
      </c>
      <c r="I41" s="19">
        <v>95</v>
      </c>
    </row>
    <row r="42" spans="2:9">
      <c r="B42" s="2">
        <v>46039</v>
      </c>
      <c r="C42" s="13" t="s">
        <v>8</v>
      </c>
      <c r="D42" s="20">
        <v>15.833333333333334</v>
      </c>
      <c r="E42" s="20">
        <v>31</v>
      </c>
      <c r="F42" s="20">
        <v>18.75</v>
      </c>
      <c r="G42" s="20">
        <v>25</v>
      </c>
      <c r="H42" s="20">
        <v>90.583333333333343</v>
      </c>
      <c r="I42" s="21">
        <v>95</v>
      </c>
    </row>
    <row r="43" spans="2:9">
      <c r="B43" s="1">
        <v>46039</v>
      </c>
      <c r="C43" s="12" t="s">
        <v>15</v>
      </c>
      <c r="D43" s="18">
        <v>19</v>
      </c>
      <c r="E43" s="18">
        <v>31</v>
      </c>
      <c r="F43" s="18">
        <v>25</v>
      </c>
      <c r="G43" s="18">
        <v>25</v>
      </c>
      <c r="H43" s="18">
        <v>100</v>
      </c>
      <c r="I43" s="19">
        <v>95</v>
      </c>
    </row>
    <row r="44" spans="2:9">
      <c r="B44" s="2">
        <v>46039</v>
      </c>
      <c r="C44" s="13" t="s">
        <v>16</v>
      </c>
      <c r="D44" s="20">
        <v>19</v>
      </c>
      <c r="E44" s="20">
        <v>31</v>
      </c>
      <c r="F44" s="20">
        <v>25</v>
      </c>
      <c r="G44" s="20">
        <v>25</v>
      </c>
      <c r="H44" s="20">
        <v>100</v>
      </c>
      <c r="I44" s="21">
        <v>95</v>
      </c>
    </row>
    <row r="45" spans="2:9">
      <c r="B45" s="1">
        <v>46039</v>
      </c>
      <c r="C45" s="12" t="s">
        <v>18</v>
      </c>
      <c r="D45" s="18">
        <v>19</v>
      </c>
      <c r="E45" s="18">
        <v>31</v>
      </c>
      <c r="F45" s="18">
        <v>25</v>
      </c>
      <c r="G45" s="18">
        <v>25</v>
      </c>
      <c r="H45" s="18">
        <v>100</v>
      </c>
      <c r="I45" s="19">
        <v>95</v>
      </c>
    </row>
    <row r="46" spans="2:9">
      <c r="B46" s="2">
        <v>46039</v>
      </c>
      <c r="C46" s="13" t="s">
        <v>19</v>
      </c>
      <c r="D46" s="20">
        <v>19</v>
      </c>
      <c r="E46" s="20">
        <v>31</v>
      </c>
      <c r="F46" s="20">
        <v>25</v>
      </c>
      <c r="G46" s="20">
        <v>25</v>
      </c>
      <c r="H46" s="20">
        <v>100</v>
      </c>
      <c r="I46" s="21">
        <v>95</v>
      </c>
    </row>
    <row r="47" spans="2:9">
      <c r="B47" s="1">
        <v>46039</v>
      </c>
      <c r="C47" s="12" t="s">
        <v>10</v>
      </c>
      <c r="D47" s="18">
        <v>19</v>
      </c>
      <c r="E47" s="18">
        <v>28.615384615384617</v>
      </c>
      <c r="F47" s="18">
        <v>25</v>
      </c>
      <c r="G47" s="18">
        <v>20.454545454545457</v>
      </c>
      <c r="H47" s="18">
        <v>93.069930069930066</v>
      </c>
      <c r="I47" s="19">
        <v>95</v>
      </c>
    </row>
    <row r="48" spans="2:9">
      <c r="B48" s="2">
        <v>46039</v>
      </c>
      <c r="C48" s="13" t="s">
        <v>17</v>
      </c>
      <c r="D48" s="20">
        <v>12.666666666666666</v>
      </c>
      <c r="E48" s="20">
        <v>28.615384615384617</v>
      </c>
      <c r="F48" s="20">
        <v>25</v>
      </c>
      <c r="G48" s="20">
        <v>22.727272727272727</v>
      </c>
      <c r="H48" s="20">
        <v>89.009324009324018</v>
      </c>
      <c r="I48" s="21">
        <v>95</v>
      </c>
    </row>
    <row r="49" spans="2:9">
      <c r="B49" s="1">
        <v>46046</v>
      </c>
      <c r="C49" s="12" t="s">
        <v>2</v>
      </c>
      <c r="D49" s="18">
        <v>15.833333333333334</v>
      </c>
      <c r="E49" s="18">
        <v>28.615384615384617</v>
      </c>
      <c r="F49" s="18">
        <v>18.75</v>
      </c>
      <c r="G49" s="18">
        <v>22.727272727272727</v>
      </c>
      <c r="H49" s="18">
        <v>85.925990675990676</v>
      </c>
      <c r="I49" s="19">
        <v>95</v>
      </c>
    </row>
    <row r="50" spans="2:9">
      <c r="B50" s="2">
        <v>46046</v>
      </c>
      <c r="C50" s="13" t="s">
        <v>5</v>
      </c>
      <c r="D50" s="20">
        <v>15.833333333333334</v>
      </c>
      <c r="E50" s="20">
        <v>31</v>
      </c>
      <c r="F50" s="20">
        <v>18.75</v>
      </c>
      <c r="G50" s="20">
        <v>25</v>
      </c>
      <c r="H50" s="20">
        <v>90.583333333333343</v>
      </c>
      <c r="I50" s="21">
        <v>95</v>
      </c>
    </row>
    <row r="51" spans="2:9">
      <c r="B51" s="1">
        <v>46046</v>
      </c>
      <c r="C51" s="12" t="s">
        <v>7</v>
      </c>
      <c r="D51" s="18">
        <v>15.833333333333334</v>
      </c>
      <c r="E51" s="18">
        <v>28.615384615384617</v>
      </c>
      <c r="F51" s="18">
        <v>21.875</v>
      </c>
      <c r="G51" s="18">
        <v>22.727272727272727</v>
      </c>
      <c r="H51" s="18">
        <v>89.050990675990676</v>
      </c>
      <c r="I51" s="19">
        <v>95</v>
      </c>
    </row>
    <row r="52" spans="2:9">
      <c r="B52" s="2">
        <v>46046</v>
      </c>
      <c r="C52" s="13" t="s">
        <v>11</v>
      </c>
      <c r="D52" s="20">
        <v>19</v>
      </c>
      <c r="E52" s="20">
        <v>28.615384615384617</v>
      </c>
      <c r="F52" s="20">
        <v>25</v>
      </c>
      <c r="G52" s="20">
        <v>25</v>
      </c>
      <c r="H52" s="20">
        <v>97.615384615384613</v>
      </c>
      <c r="I52" s="21">
        <v>95</v>
      </c>
    </row>
    <row r="53" spans="2:9">
      <c r="B53" s="1">
        <v>46046</v>
      </c>
      <c r="C53" s="12" t="s">
        <v>12</v>
      </c>
      <c r="D53" s="18">
        <v>19</v>
      </c>
      <c r="E53" s="18">
        <v>31</v>
      </c>
      <c r="F53" s="18">
        <v>25</v>
      </c>
      <c r="G53" s="18">
        <v>25</v>
      </c>
      <c r="H53" s="18">
        <v>100</v>
      </c>
      <c r="I53" s="19">
        <v>95</v>
      </c>
    </row>
    <row r="54" spans="2:9">
      <c r="B54" s="2">
        <v>46046</v>
      </c>
      <c r="C54" s="13" t="s">
        <v>13</v>
      </c>
      <c r="D54" s="20">
        <v>15.833333333333334</v>
      </c>
      <c r="E54" s="20">
        <v>28.615384615384617</v>
      </c>
      <c r="F54" s="20">
        <v>21.875</v>
      </c>
      <c r="G54" s="20">
        <v>22.727272727272727</v>
      </c>
      <c r="H54" s="20">
        <v>89.050990675990676</v>
      </c>
      <c r="I54" s="21">
        <v>95</v>
      </c>
    </row>
    <row r="55" spans="2:9">
      <c r="B55" s="1">
        <v>46046</v>
      </c>
      <c r="C55" s="12" t="s">
        <v>6</v>
      </c>
      <c r="D55" s="18">
        <v>19</v>
      </c>
      <c r="E55" s="18">
        <v>31</v>
      </c>
      <c r="F55" s="18">
        <v>21.875</v>
      </c>
      <c r="G55" s="18">
        <v>25</v>
      </c>
      <c r="H55" s="18">
        <v>96.875</v>
      </c>
      <c r="I55" s="19">
        <v>95</v>
      </c>
    </row>
    <row r="56" spans="2:9">
      <c r="B56" s="2">
        <v>46046</v>
      </c>
      <c r="C56" s="13" t="s">
        <v>14</v>
      </c>
      <c r="D56" s="20">
        <v>15.833333333333334</v>
      </c>
      <c r="E56" s="20">
        <v>31</v>
      </c>
      <c r="F56" s="20">
        <v>21.875</v>
      </c>
      <c r="G56" s="20">
        <v>25</v>
      </c>
      <c r="H56" s="20">
        <v>93.708333333333343</v>
      </c>
      <c r="I56" s="21">
        <v>95</v>
      </c>
    </row>
    <row r="57" spans="2:9">
      <c r="B57" s="1">
        <v>46046</v>
      </c>
      <c r="C57" s="12" t="s">
        <v>4</v>
      </c>
      <c r="D57" s="18">
        <v>12.666666666666666</v>
      </c>
      <c r="E57" s="18">
        <v>28.615384615384617</v>
      </c>
      <c r="F57" s="18">
        <v>18.75</v>
      </c>
      <c r="G57" s="18">
        <v>25</v>
      </c>
      <c r="H57" s="18">
        <v>85.032051282051285</v>
      </c>
      <c r="I57" s="19">
        <v>95</v>
      </c>
    </row>
    <row r="58" spans="2:9">
      <c r="B58" s="2">
        <v>46046</v>
      </c>
      <c r="C58" s="13" t="s">
        <v>8</v>
      </c>
      <c r="D58" s="20">
        <v>15.833333333333334</v>
      </c>
      <c r="E58" s="20">
        <v>31</v>
      </c>
      <c r="F58" s="20">
        <v>21.875</v>
      </c>
      <c r="G58" s="20">
        <v>25</v>
      </c>
      <c r="H58" s="20">
        <v>93.708333333333343</v>
      </c>
      <c r="I58" s="21">
        <v>95</v>
      </c>
    </row>
    <row r="59" spans="2:9">
      <c r="B59" s="1">
        <v>46046</v>
      </c>
      <c r="C59" s="12" t="s">
        <v>15</v>
      </c>
      <c r="D59" s="18">
        <v>19</v>
      </c>
      <c r="E59" s="18">
        <v>31</v>
      </c>
      <c r="F59" s="18">
        <v>25</v>
      </c>
      <c r="G59" s="18">
        <v>25</v>
      </c>
      <c r="H59" s="18">
        <v>100</v>
      </c>
      <c r="I59" s="19">
        <v>95</v>
      </c>
    </row>
    <row r="60" spans="2:9">
      <c r="B60" s="2">
        <v>46046</v>
      </c>
      <c r="C60" s="13" t="s">
        <v>16</v>
      </c>
      <c r="D60" s="20">
        <v>15.833333333333334</v>
      </c>
      <c r="E60" s="20">
        <v>28.615384615384617</v>
      </c>
      <c r="F60" s="20">
        <v>25</v>
      </c>
      <c r="G60" s="20">
        <v>25</v>
      </c>
      <c r="H60" s="20">
        <v>94.448717948717956</v>
      </c>
      <c r="I60" s="21">
        <v>95</v>
      </c>
    </row>
    <row r="61" spans="2:9">
      <c r="B61" s="1">
        <v>46046</v>
      </c>
      <c r="C61" s="12" t="s">
        <v>18</v>
      </c>
      <c r="D61" s="18">
        <v>19</v>
      </c>
      <c r="E61" s="18">
        <v>31</v>
      </c>
      <c r="F61" s="18">
        <v>25</v>
      </c>
      <c r="G61" s="18">
        <v>25</v>
      </c>
      <c r="H61" s="18">
        <v>100</v>
      </c>
      <c r="I61" s="19">
        <v>95</v>
      </c>
    </row>
    <row r="62" spans="2:9">
      <c r="B62" s="2">
        <v>46046</v>
      </c>
      <c r="C62" s="13" t="s">
        <v>19</v>
      </c>
      <c r="D62" s="20">
        <v>19</v>
      </c>
      <c r="E62" s="20">
        <v>31</v>
      </c>
      <c r="F62" s="20">
        <v>25</v>
      </c>
      <c r="G62" s="20">
        <v>25</v>
      </c>
      <c r="H62" s="20">
        <v>100</v>
      </c>
      <c r="I62" s="21">
        <v>95</v>
      </c>
    </row>
    <row r="63" spans="2:9">
      <c r="B63" s="1">
        <v>46046</v>
      </c>
      <c r="C63" s="12" t="s">
        <v>10</v>
      </c>
      <c r="D63" s="18">
        <v>19</v>
      </c>
      <c r="E63" s="18">
        <v>28.615384615384617</v>
      </c>
      <c r="F63" s="18">
        <v>25</v>
      </c>
      <c r="G63" s="18">
        <v>22.727272727272727</v>
      </c>
      <c r="H63" s="18">
        <v>95.342657342657333</v>
      </c>
      <c r="I63" s="19">
        <v>95</v>
      </c>
    </row>
    <row r="64" spans="2:9">
      <c r="B64" s="2">
        <v>46046</v>
      </c>
      <c r="C64" s="13" t="s">
        <v>17</v>
      </c>
      <c r="D64" s="20">
        <v>9.5</v>
      </c>
      <c r="E64" s="20">
        <v>28.615384615384617</v>
      </c>
      <c r="F64" s="20">
        <v>21.875</v>
      </c>
      <c r="G64" s="20">
        <v>20.454545454545457</v>
      </c>
      <c r="H64" s="20">
        <v>80.444930069930066</v>
      </c>
      <c r="I64" s="21">
        <v>95</v>
      </c>
    </row>
    <row r="65" spans="2:9">
      <c r="B65" s="1">
        <v>46053</v>
      </c>
      <c r="C65" s="12" t="s">
        <v>2</v>
      </c>
      <c r="D65" s="18">
        <v>15.833333333333334</v>
      </c>
      <c r="E65" s="18">
        <v>31</v>
      </c>
      <c r="F65" s="18">
        <v>18.75</v>
      </c>
      <c r="G65" s="18">
        <v>25</v>
      </c>
      <c r="H65" s="18">
        <v>90.583333333333343</v>
      </c>
      <c r="I65" s="19">
        <v>95</v>
      </c>
    </row>
    <row r="66" spans="2:9">
      <c r="B66" s="2">
        <v>46053</v>
      </c>
      <c r="C66" s="13" t="s">
        <v>5</v>
      </c>
      <c r="D66" s="20">
        <v>19</v>
      </c>
      <c r="E66" s="20">
        <v>31</v>
      </c>
      <c r="F66" s="20">
        <v>15.625</v>
      </c>
      <c r="G66" s="20">
        <v>25</v>
      </c>
      <c r="H66" s="20">
        <v>90.625</v>
      </c>
      <c r="I66" s="21">
        <v>95</v>
      </c>
    </row>
    <row r="67" spans="2:9">
      <c r="B67" s="1">
        <v>46053</v>
      </c>
      <c r="C67" s="12" t="s">
        <v>7</v>
      </c>
      <c r="D67" s="18">
        <v>15.833333333333334</v>
      </c>
      <c r="E67" s="18">
        <v>31</v>
      </c>
      <c r="F67" s="18">
        <v>21.875</v>
      </c>
      <c r="G67" s="18">
        <v>20.454545454545457</v>
      </c>
      <c r="H67" s="18">
        <v>89.162878787878796</v>
      </c>
      <c r="I67" s="19">
        <v>95</v>
      </c>
    </row>
    <row r="68" spans="2:9">
      <c r="B68" s="2">
        <v>46053</v>
      </c>
      <c r="C68" s="13" t="s">
        <v>11</v>
      </c>
      <c r="D68" s="20">
        <v>15.833333333333334</v>
      </c>
      <c r="E68" s="20">
        <v>31</v>
      </c>
      <c r="F68" s="20">
        <v>25</v>
      </c>
      <c r="G68" s="20">
        <v>22.727272727272727</v>
      </c>
      <c r="H68" s="20">
        <v>94.560606060606062</v>
      </c>
      <c r="I68" s="21">
        <v>95</v>
      </c>
    </row>
    <row r="69" spans="2:9">
      <c r="B69" s="1">
        <v>46053</v>
      </c>
      <c r="C69" s="12" t="s">
        <v>12</v>
      </c>
      <c r="D69" s="18">
        <v>19</v>
      </c>
      <c r="E69" s="18">
        <v>31</v>
      </c>
      <c r="F69" s="18">
        <v>25</v>
      </c>
      <c r="G69" s="18">
        <v>25</v>
      </c>
      <c r="H69" s="18">
        <v>100</v>
      </c>
      <c r="I69" s="19">
        <v>95</v>
      </c>
    </row>
    <row r="70" spans="2:9">
      <c r="B70" s="2">
        <v>46053</v>
      </c>
      <c r="C70" s="13" t="s">
        <v>13</v>
      </c>
      <c r="D70" s="20">
        <v>15.833333333333334</v>
      </c>
      <c r="E70" s="20">
        <v>31</v>
      </c>
      <c r="F70" s="20">
        <v>25</v>
      </c>
      <c r="G70" s="20">
        <v>20.454545454545457</v>
      </c>
      <c r="H70" s="20">
        <v>92.287878787878796</v>
      </c>
      <c r="I70" s="21">
        <v>95</v>
      </c>
    </row>
    <row r="71" spans="2:9">
      <c r="B71" s="1">
        <v>46053</v>
      </c>
      <c r="C71" s="12" t="s">
        <v>6</v>
      </c>
      <c r="D71" s="18">
        <v>12.666666666666666</v>
      </c>
      <c r="E71" s="18">
        <v>31</v>
      </c>
      <c r="F71" s="18">
        <v>18.75</v>
      </c>
      <c r="G71" s="18">
        <v>25</v>
      </c>
      <c r="H71" s="18">
        <v>87.416666666666657</v>
      </c>
      <c r="I71" s="19">
        <v>95</v>
      </c>
    </row>
    <row r="72" spans="2:9">
      <c r="B72" s="2">
        <v>46053</v>
      </c>
      <c r="C72" s="13" t="s">
        <v>14</v>
      </c>
      <c r="D72" s="20">
        <v>15.833333333333334</v>
      </c>
      <c r="E72" s="20">
        <v>31</v>
      </c>
      <c r="F72" s="20">
        <v>21.875</v>
      </c>
      <c r="G72" s="20">
        <v>22.727272727272727</v>
      </c>
      <c r="H72" s="20">
        <v>91.435606060606062</v>
      </c>
      <c r="I72" s="21">
        <v>95</v>
      </c>
    </row>
    <row r="73" spans="2:9">
      <c r="B73" s="1">
        <v>46053</v>
      </c>
      <c r="C73" s="12" t="s">
        <v>4</v>
      </c>
      <c r="D73" s="18">
        <v>19</v>
      </c>
      <c r="E73" s="18">
        <v>31</v>
      </c>
      <c r="F73" s="18">
        <v>21.875</v>
      </c>
      <c r="G73" s="18">
        <v>22.727272727272727</v>
      </c>
      <c r="H73" s="18">
        <v>94.60227272727272</v>
      </c>
      <c r="I73" s="19">
        <v>95</v>
      </c>
    </row>
    <row r="74" spans="2:9">
      <c r="B74" s="2">
        <v>46053</v>
      </c>
      <c r="C74" s="13" t="s">
        <v>8</v>
      </c>
      <c r="D74" s="20">
        <v>15.833333333333334</v>
      </c>
      <c r="E74" s="20">
        <v>31</v>
      </c>
      <c r="F74" s="20">
        <v>15.625</v>
      </c>
      <c r="G74" s="20">
        <v>22.727272727272727</v>
      </c>
      <c r="H74" s="20">
        <v>85.185606060606062</v>
      </c>
      <c r="I74" s="21">
        <v>95</v>
      </c>
    </row>
    <row r="75" spans="2:9">
      <c r="B75" s="1">
        <v>46053</v>
      </c>
      <c r="C75" s="12" t="s">
        <v>15</v>
      </c>
      <c r="D75" s="18">
        <v>19</v>
      </c>
      <c r="E75" s="18">
        <v>31</v>
      </c>
      <c r="F75" s="18">
        <v>25</v>
      </c>
      <c r="G75" s="18">
        <v>20.454545454545457</v>
      </c>
      <c r="H75" s="18">
        <v>95.454545454545453</v>
      </c>
      <c r="I75" s="19">
        <v>95</v>
      </c>
    </row>
    <row r="76" spans="2:9">
      <c r="B76" s="2">
        <v>46053</v>
      </c>
      <c r="C76" s="13" t="s">
        <v>16</v>
      </c>
      <c r="D76" s="20">
        <v>15.833333333333334</v>
      </c>
      <c r="E76" s="20">
        <v>28.615384615384617</v>
      </c>
      <c r="F76" s="20">
        <v>25</v>
      </c>
      <c r="G76" s="20">
        <v>25</v>
      </c>
      <c r="H76" s="20">
        <v>94.448717948717956</v>
      </c>
      <c r="I76" s="21">
        <v>95</v>
      </c>
    </row>
    <row r="77" spans="2:9">
      <c r="B77" s="1">
        <v>46053</v>
      </c>
      <c r="C77" s="12" t="s">
        <v>18</v>
      </c>
      <c r="D77" s="18">
        <v>19</v>
      </c>
      <c r="E77" s="18">
        <v>31</v>
      </c>
      <c r="F77" s="18">
        <v>25</v>
      </c>
      <c r="G77" s="18">
        <v>25</v>
      </c>
      <c r="H77" s="18">
        <v>100</v>
      </c>
      <c r="I77" s="19">
        <v>95</v>
      </c>
    </row>
    <row r="78" spans="2:9">
      <c r="B78" s="2">
        <v>46053</v>
      </c>
      <c r="C78" s="13" t="s">
        <v>19</v>
      </c>
      <c r="D78" s="20">
        <v>19</v>
      </c>
      <c r="E78" s="20">
        <v>28.615384615384617</v>
      </c>
      <c r="F78" s="20">
        <v>25</v>
      </c>
      <c r="G78" s="20">
        <v>25</v>
      </c>
      <c r="H78" s="20">
        <v>97.615384615384613</v>
      </c>
      <c r="I78" s="21">
        <v>95</v>
      </c>
    </row>
    <row r="79" spans="2:9">
      <c r="B79" s="1">
        <v>46053</v>
      </c>
      <c r="C79" s="12" t="s">
        <v>10</v>
      </c>
      <c r="D79" s="18">
        <v>19</v>
      </c>
      <c r="E79" s="18">
        <v>31</v>
      </c>
      <c r="F79" s="18">
        <v>25</v>
      </c>
      <c r="G79" s="18">
        <v>20.454545454545457</v>
      </c>
      <c r="H79" s="18">
        <v>95.454545454545453</v>
      </c>
      <c r="I79" s="19">
        <v>95</v>
      </c>
    </row>
    <row r="80" spans="2:9">
      <c r="B80" s="2">
        <v>46053</v>
      </c>
      <c r="C80" s="13" t="s">
        <v>17</v>
      </c>
      <c r="D80" s="20">
        <v>15.833333333333334</v>
      </c>
      <c r="E80" s="20">
        <v>28.615384615384617</v>
      </c>
      <c r="F80" s="20">
        <v>25</v>
      </c>
      <c r="G80" s="20">
        <v>22.727272727272727</v>
      </c>
      <c r="H80" s="20">
        <v>92.175990675990676</v>
      </c>
      <c r="I80" s="21">
        <v>95</v>
      </c>
    </row>
    <row r="81" spans="2:9">
      <c r="B81" s="1">
        <v>46060</v>
      </c>
      <c r="C81" s="12" t="s">
        <v>2</v>
      </c>
      <c r="D81" s="18">
        <v>15.833333333333334</v>
      </c>
      <c r="E81" s="18">
        <v>31</v>
      </c>
      <c r="F81" s="18">
        <v>21.875</v>
      </c>
      <c r="G81" s="18">
        <v>25</v>
      </c>
      <c r="H81" s="18">
        <v>93.708333333333343</v>
      </c>
      <c r="I81" s="19">
        <v>95</v>
      </c>
    </row>
    <row r="82" spans="2:9">
      <c r="B82" s="2">
        <v>46060</v>
      </c>
      <c r="C82" s="13" t="s">
        <v>5</v>
      </c>
      <c r="D82" s="20">
        <v>19</v>
      </c>
      <c r="E82" s="20">
        <v>28.615384615384617</v>
      </c>
      <c r="F82" s="20">
        <v>21.875</v>
      </c>
      <c r="G82" s="20">
        <v>25</v>
      </c>
      <c r="H82" s="20">
        <v>94.490384615384613</v>
      </c>
      <c r="I82" s="21">
        <v>95</v>
      </c>
    </row>
    <row r="83" spans="2:9">
      <c r="B83" s="1">
        <v>46060</v>
      </c>
      <c r="C83" s="12" t="s">
        <v>7</v>
      </c>
      <c r="D83" s="18">
        <v>15.833333333333334</v>
      </c>
      <c r="E83" s="18">
        <v>28.615384615384617</v>
      </c>
      <c r="F83" s="18">
        <v>18.75</v>
      </c>
      <c r="G83" s="18">
        <v>22.727272727272727</v>
      </c>
      <c r="H83" s="18">
        <v>85.925990675990676</v>
      </c>
      <c r="I83" s="19">
        <v>95</v>
      </c>
    </row>
    <row r="84" spans="2:9">
      <c r="B84" s="2">
        <v>46060</v>
      </c>
      <c r="C84" s="13" t="s">
        <v>11</v>
      </c>
      <c r="D84" s="20">
        <v>19</v>
      </c>
      <c r="E84" s="20">
        <v>28.615384615384617</v>
      </c>
      <c r="F84" s="20">
        <v>25</v>
      </c>
      <c r="G84" s="20">
        <v>25</v>
      </c>
      <c r="H84" s="20">
        <v>97.615384615384613</v>
      </c>
      <c r="I84" s="21">
        <v>95</v>
      </c>
    </row>
    <row r="85" spans="2:9">
      <c r="B85" s="1">
        <v>46060</v>
      </c>
      <c r="C85" s="12" t="s">
        <v>12</v>
      </c>
      <c r="D85" s="18">
        <v>19</v>
      </c>
      <c r="E85" s="18">
        <v>31</v>
      </c>
      <c r="F85" s="18">
        <v>25</v>
      </c>
      <c r="G85" s="18">
        <v>22.727272727272727</v>
      </c>
      <c r="H85" s="18">
        <v>97.72727272727272</v>
      </c>
      <c r="I85" s="19">
        <v>95</v>
      </c>
    </row>
    <row r="86" spans="2:9">
      <c r="B86" s="2">
        <v>46060</v>
      </c>
      <c r="C86" s="13" t="s">
        <v>9</v>
      </c>
      <c r="D86" s="20">
        <v>19</v>
      </c>
      <c r="E86" s="20">
        <v>31</v>
      </c>
      <c r="F86" s="20">
        <v>25</v>
      </c>
      <c r="G86" s="20">
        <v>25</v>
      </c>
      <c r="H86" s="20">
        <v>100</v>
      </c>
      <c r="I86" s="21">
        <v>95</v>
      </c>
    </row>
    <row r="87" spans="2:9">
      <c r="B87" s="1">
        <v>46060</v>
      </c>
      <c r="C87" s="12" t="s">
        <v>13</v>
      </c>
      <c r="D87" s="18">
        <v>19</v>
      </c>
      <c r="E87" s="18">
        <v>31</v>
      </c>
      <c r="F87" s="18">
        <v>25</v>
      </c>
      <c r="G87" s="18">
        <v>25</v>
      </c>
      <c r="H87" s="18">
        <v>100</v>
      </c>
      <c r="I87" s="19">
        <v>95</v>
      </c>
    </row>
    <row r="88" spans="2:9">
      <c r="B88" s="2">
        <v>46060</v>
      </c>
      <c r="C88" s="13" t="s">
        <v>6</v>
      </c>
      <c r="D88" s="20">
        <v>19</v>
      </c>
      <c r="E88" s="20">
        <v>31</v>
      </c>
      <c r="F88" s="20">
        <v>21.875</v>
      </c>
      <c r="G88" s="20">
        <v>22.727272727272727</v>
      </c>
      <c r="H88" s="20">
        <v>94.60227272727272</v>
      </c>
      <c r="I88" s="21">
        <v>95</v>
      </c>
    </row>
    <row r="89" spans="2:9">
      <c r="B89" s="1">
        <v>46060</v>
      </c>
      <c r="C89" s="12" t="s">
        <v>14</v>
      </c>
      <c r="D89" s="18">
        <v>19</v>
      </c>
      <c r="E89" s="18">
        <v>31</v>
      </c>
      <c r="F89" s="18">
        <v>21.875</v>
      </c>
      <c r="G89" s="18">
        <v>25</v>
      </c>
      <c r="H89" s="18">
        <v>96.875</v>
      </c>
      <c r="I89" s="19">
        <v>95</v>
      </c>
    </row>
    <row r="90" spans="2:9">
      <c r="B90" s="2">
        <v>46060</v>
      </c>
      <c r="C90" s="13" t="s">
        <v>4</v>
      </c>
      <c r="D90" s="20">
        <v>15.833333333333334</v>
      </c>
      <c r="E90" s="20">
        <v>28.615384615384617</v>
      </c>
      <c r="F90" s="20">
        <v>21.875</v>
      </c>
      <c r="G90" s="20">
        <v>22.727272727272727</v>
      </c>
      <c r="H90" s="20">
        <v>89.050990675990676</v>
      </c>
      <c r="I90" s="21">
        <v>95</v>
      </c>
    </row>
    <row r="91" spans="2:9">
      <c r="B91" s="1">
        <v>46060</v>
      </c>
      <c r="C91" s="12" t="s">
        <v>8</v>
      </c>
      <c r="D91" s="18">
        <v>15.833333333333334</v>
      </c>
      <c r="E91" s="18">
        <v>28.615384615384617</v>
      </c>
      <c r="F91" s="18">
        <v>25</v>
      </c>
      <c r="G91" s="18">
        <v>25</v>
      </c>
      <c r="H91" s="18">
        <v>94.448717948717956</v>
      </c>
      <c r="I91" s="19">
        <v>95</v>
      </c>
    </row>
    <row r="92" spans="2:9">
      <c r="B92" s="2">
        <v>46060</v>
      </c>
      <c r="C92" s="13" t="s">
        <v>15</v>
      </c>
      <c r="D92" s="20">
        <v>15.833333333333334</v>
      </c>
      <c r="E92" s="20">
        <v>31</v>
      </c>
      <c r="F92" s="20">
        <v>25</v>
      </c>
      <c r="G92" s="20">
        <v>25</v>
      </c>
      <c r="H92" s="20">
        <v>96.833333333333343</v>
      </c>
      <c r="I92" s="21">
        <v>95</v>
      </c>
    </row>
    <row r="93" spans="2:9">
      <c r="B93" s="1">
        <v>46060</v>
      </c>
      <c r="C93" s="12" t="s">
        <v>16</v>
      </c>
      <c r="D93" s="18">
        <v>15.833333333333334</v>
      </c>
      <c r="E93" s="18">
        <v>31</v>
      </c>
      <c r="F93" s="18">
        <v>21.875</v>
      </c>
      <c r="G93" s="18">
        <v>25</v>
      </c>
      <c r="H93" s="18">
        <v>93.708333333333343</v>
      </c>
      <c r="I93" s="19">
        <v>95</v>
      </c>
    </row>
    <row r="94" spans="2:9">
      <c r="B94" s="2">
        <v>46060</v>
      </c>
      <c r="C94" s="13" t="s">
        <v>18</v>
      </c>
      <c r="D94" s="20">
        <v>19</v>
      </c>
      <c r="E94" s="20">
        <v>31</v>
      </c>
      <c r="F94" s="20">
        <v>25</v>
      </c>
      <c r="G94" s="20">
        <v>25</v>
      </c>
      <c r="H94" s="20">
        <v>100</v>
      </c>
      <c r="I94" s="21">
        <v>95</v>
      </c>
    </row>
    <row r="95" spans="2:9">
      <c r="B95" s="1">
        <v>46060</v>
      </c>
      <c r="C95" s="12" t="s">
        <v>19</v>
      </c>
      <c r="D95" s="18">
        <v>19</v>
      </c>
      <c r="E95" s="18">
        <v>31</v>
      </c>
      <c r="F95" s="18">
        <v>25</v>
      </c>
      <c r="G95" s="18">
        <v>22.727272727272727</v>
      </c>
      <c r="H95" s="18">
        <v>97.72727272727272</v>
      </c>
      <c r="I95" s="19">
        <v>95</v>
      </c>
    </row>
    <row r="96" spans="2:9">
      <c r="B96" s="2">
        <v>46060</v>
      </c>
      <c r="C96" s="13" t="s">
        <v>10</v>
      </c>
      <c r="D96" s="20">
        <v>19</v>
      </c>
      <c r="E96" s="20">
        <v>28.615384615384617</v>
      </c>
      <c r="F96" s="20">
        <v>21.875</v>
      </c>
      <c r="G96" s="20">
        <v>25</v>
      </c>
      <c r="H96" s="20">
        <v>94.490384615384613</v>
      </c>
      <c r="I96" s="21">
        <v>95</v>
      </c>
    </row>
    <row r="97" spans="2:9">
      <c r="B97" s="1">
        <v>46060</v>
      </c>
      <c r="C97" s="12" t="s">
        <v>17</v>
      </c>
      <c r="D97" s="18">
        <v>15.833333333333334</v>
      </c>
      <c r="E97" s="18">
        <v>31</v>
      </c>
      <c r="F97" s="18">
        <v>21.875</v>
      </c>
      <c r="G97" s="18">
        <v>22.727272727272727</v>
      </c>
      <c r="H97" s="18">
        <v>91.435606060606062</v>
      </c>
      <c r="I97" s="19">
        <v>95</v>
      </c>
    </row>
    <row r="98" spans="2:9">
      <c r="B98" s="2">
        <v>46067</v>
      </c>
      <c r="C98" s="13" t="s">
        <v>2</v>
      </c>
      <c r="D98" s="20">
        <v>15.833333333333334</v>
      </c>
      <c r="E98" s="20">
        <v>31</v>
      </c>
      <c r="F98" s="20">
        <v>15.625</v>
      </c>
      <c r="G98" s="20">
        <v>22.727272727272727</v>
      </c>
      <c r="H98" s="20">
        <v>85.185606060606062</v>
      </c>
      <c r="I98" s="21">
        <v>95</v>
      </c>
    </row>
    <row r="99" spans="2:9">
      <c r="B99" s="1">
        <v>46067</v>
      </c>
      <c r="C99" s="12" t="s">
        <v>5</v>
      </c>
      <c r="D99" s="18">
        <v>15.833333333333334</v>
      </c>
      <c r="E99" s="18">
        <v>23.846153846153847</v>
      </c>
      <c r="F99" s="18">
        <v>21.875</v>
      </c>
      <c r="G99" s="18">
        <v>25</v>
      </c>
      <c r="H99" s="18">
        <v>86.554487179487182</v>
      </c>
      <c r="I99" s="19">
        <v>95</v>
      </c>
    </row>
    <row r="100" spans="2:9">
      <c r="B100" s="2">
        <v>46067</v>
      </c>
      <c r="C100" s="13" t="s">
        <v>7</v>
      </c>
      <c r="D100" s="20">
        <v>15.833333333333334</v>
      </c>
      <c r="E100" s="20">
        <v>28.615384615384617</v>
      </c>
      <c r="F100" s="20">
        <v>18.75</v>
      </c>
      <c r="G100" s="20">
        <v>20.454545454545457</v>
      </c>
      <c r="H100" s="20">
        <v>83.653263403263409</v>
      </c>
      <c r="I100" s="21">
        <v>95</v>
      </c>
    </row>
    <row r="101" spans="2:9">
      <c r="B101" s="1">
        <v>46067</v>
      </c>
      <c r="C101" s="12" t="s">
        <v>11</v>
      </c>
      <c r="D101" s="18">
        <v>19</v>
      </c>
      <c r="E101" s="18">
        <v>31</v>
      </c>
      <c r="F101" s="18">
        <v>25</v>
      </c>
      <c r="G101" s="18">
        <v>25</v>
      </c>
      <c r="H101" s="18">
        <v>100</v>
      </c>
      <c r="I101" s="19">
        <v>95</v>
      </c>
    </row>
    <row r="102" spans="2:9">
      <c r="B102" s="2">
        <v>46067</v>
      </c>
      <c r="C102" s="13" t="s">
        <v>12</v>
      </c>
      <c r="D102" s="20">
        <v>19</v>
      </c>
      <c r="E102" s="20">
        <v>26.23076923076923</v>
      </c>
      <c r="F102" s="20">
        <v>25</v>
      </c>
      <c r="G102" s="20">
        <v>25</v>
      </c>
      <c r="H102" s="20">
        <v>95.230769230769226</v>
      </c>
      <c r="I102" s="21">
        <v>95</v>
      </c>
    </row>
    <row r="103" spans="2:9">
      <c r="B103" s="1">
        <v>46067</v>
      </c>
      <c r="C103" s="12" t="s">
        <v>9</v>
      </c>
      <c r="D103" s="18">
        <v>19</v>
      </c>
      <c r="E103" s="18">
        <v>31</v>
      </c>
      <c r="F103" s="18">
        <v>25</v>
      </c>
      <c r="G103" s="18">
        <v>22.727272727272727</v>
      </c>
      <c r="H103" s="18">
        <v>97.72727272727272</v>
      </c>
      <c r="I103" s="19">
        <v>95</v>
      </c>
    </row>
    <row r="104" spans="2:9">
      <c r="B104" s="2">
        <v>46067</v>
      </c>
      <c r="C104" s="13" t="s">
        <v>13</v>
      </c>
      <c r="D104" s="20">
        <v>19</v>
      </c>
      <c r="E104" s="20">
        <v>31</v>
      </c>
      <c r="F104" s="20">
        <v>25</v>
      </c>
      <c r="G104" s="20">
        <v>20.454545454545457</v>
      </c>
      <c r="H104" s="20">
        <v>95.454545454545453</v>
      </c>
      <c r="I104" s="21">
        <v>95</v>
      </c>
    </row>
    <row r="105" spans="2:9">
      <c r="B105" s="1">
        <v>46067</v>
      </c>
      <c r="C105" s="12" t="s">
        <v>6</v>
      </c>
      <c r="D105" s="18">
        <v>15.833333333333334</v>
      </c>
      <c r="E105" s="18">
        <v>26.23076923076923</v>
      </c>
      <c r="F105" s="18">
        <v>25</v>
      </c>
      <c r="G105" s="18">
        <v>25</v>
      </c>
      <c r="H105" s="18">
        <v>92.064102564102569</v>
      </c>
      <c r="I105" s="19">
        <v>95</v>
      </c>
    </row>
    <row r="106" spans="2:9">
      <c r="B106" s="2">
        <v>46067</v>
      </c>
      <c r="C106" s="13" t="s">
        <v>14</v>
      </c>
      <c r="D106" s="20">
        <v>19</v>
      </c>
      <c r="E106" s="20">
        <v>26.23076923076923</v>
      </c>
      <c r="F106" s="20">
        <v>21.875</v>
      </c>
      <c r="G106" s="20">
        <v>22.727272727272727</v>
      </c>
      <c r="H106" s="20">
        <v>89.833041958041946</v>
      </c>
      <c r="I106" s="21">
        <v>95</v>
      </c>
    </row>
    <row r="107" spans="2:9">
      <c r="B107" s="1">
        <v>46067</v>
      </c>
      <c r="C107" s="12" t="s">
        <v>4</v>
      </c>
      <c r="D107" s="18">
        <v>15.833333333333334</v>
      </c>
      <c r="E107" s="18">
        <v>28.615384615384617</v>
      </c>
      <c r="F107" s="18">
        <v>18.75</v>
      </c>
      <c r="G107" s="18">
        <v>22.727272727272727</v>
      </c>
      <c r="H107" s="18">
        <v>85.925990675990676</v>
      </c>
      <c r="I107" s="19">
        <v>95</v>
      </c>
    </row>
    <row r="108" spans="2:9">
      <c r="B108" s="2">
        <v>46067</v>
      </c>
      <c r="C108" s="13" t="s">
        <v>8</v>
      </c>
      <c r="D108" s="20">
        <v>15.833333333333334</v>
      </c>
      <c r="E108" s="20">
        <v>31</v>
      </c>
      <c r="F108" s="20">
        <v>18.75</v>
      </c>
      <c r="G108" s="20">
        <v>25</v>
      </c>
      <c r="H108" s="20">
        <v>90.583333333333343</v>
      </c>
      <c r="I108" s="21">
        <v>95</v>
      </c>
    </row>
    <row r="109" spans="2:9">
      <c r="B109" s="1">
        <v>46067</v>
      </c>
      <c r="C109" s="12" t="s">
        <v>15</v>
      </c>
      <c r="D109" s="18">
        <v>19</v>
      </c>
      <c r="E109" s="18">
        <v>31</v>
      </c>
      <c r="F109" s="18">
        <v>25</v>
      </c>
      <c r="G109" s="18">
        <v>25</v>
      </c>
      <c r="H109" s="18">
        <v>100</v>
      </c>
      <c r="I109" s="19">
        <v>95</v>
      </c>
    </row>
    <row r="110" spans="2:9">
      <c r="B110" s="2">
        <v>46067</v>
      </c>
      <c r="C110" s="13" t="s">
        <v>16</v>
      </c>
      <c r="D110" s="20">
        <v>15.833333333333334</v>
      </c>
      <c r="E110" s="20">
        <v>31</v>
      </c>
      <c r="F110" s="20">
        <v>15.625</v>
      </c>
      <c r="G110" s="20">
        <v>25</v>
      </c>
      <c r="H110" s="20">
        <v>87.458333333333343</v>
      </c>
      <c r="I110" s="21">
        <v>95</v>
      </c>
    </row>
    <row r="111" spans="2:9">
      <c r="B111" s="1">
        <v>46067</v>
      </c>
      <c r="C111" s="12" t="s">
        <v>18</v>
      </c>
      <c r="D111" s="18">
        <v>15.833333333333334</v>
      </c>
      <c r="E111" s="18">
        <v>28.615384615384617</v>
      </c>
      <c r="F111" s="18">
        <v>25</v>
      </c>
      <c r="G111" s="18">
        <v>25</v>
      </c>
      <c r="H111" s="18">
        <v>94.448717948717956</v>
      </c>
      <c r="I111" s="19">
        <v>95</v>
      </c>
    </row>
    <row r="112" spans="2:9">
      <c r="B112" s="2">
        <v>46067</v>
      </c>
      <c r="C112" s="13" t="s">
        <v>19</v>
      </c>
      <c r="D112" s="20">
        <v>19</v>
      </c>
      <c r="E112" s="20">
        <v>31</v>
      </c>
      <c r="F112" s="20">
        <v>25</v>
      </c>
      <c r="G112" s="20">
        <v>25</v>
      </c>
      <c r="H112" s="20">
        <v>100</v>
      </c>
      <c r="I112" s="21">
        <v>95</v>
      </c>
    </row>
    <row r="113" spans="2:9">
      <c r="B113" s="1">
        <v>46067</v>
      </c>
      <c r="C113" s="12" t="s">
        <v>10</v>
      </c>
      <c r="D113" s="18">
        <v>19</v>
      </c>
      <c r="E113" s="18">
        <v>28.615384615384617</v>
      </c>
      <c r="F113" s="18">
        <v>21.875</v>
      </c>
      <c r="G113" s="18">
        <v>22.727272727272727</v>
      </c>
      <c r="H113" s="18">
        <v>92.217657342657333</v>
      </c>
      <c r="I113" s="19">
        <v>95</v>
      </c>
    </row>
    <row r="114" spans="2:9">
      <c r="B114" s="2">
        <v>46067</v>
      </c>
      <c r="C114" s="13" t="s">
        <v>17</v>
      </c>
      <c r="D114" s="20">
        <v>12.666666666666666</v>
      </c>
      <c r="E114" s="20">
        <v>26.23076923076923</v>
      </c>
      <c r="F114" s="20">
        <v>21.875</v>
      </c>
      <c r="G114" s="20">
        <v>22.727272727272727</v>
      </c>
      <c r="H114" s="20">
        <v>83.499708624708632</v>
      </c>
      <c r="I114" s="21">
        <v>95</v>
      </c>
    </row>
    <row r="115" spans="2:9">
      <c r="B115" s="1">
        <v>46074</v>
      </c>
      <c r="C115" s="12" t="s">
        <v>2</v>
      </c>
      <c r="D115" s="18">
        <v>19</v>
      </c>
      <c r="E115" s="18">
        <v>31</v>
      </c>
      <c r="F115" s="18">
        <v>18.75</v>
      </c>
      <c r="G115" s="18">
        <v>25</v>
      </c>
      <c r="H115" s="18">
        <v>93.75</v>
      </c>
      <c r="I115" s="19">
        <v>95</v>
      </c>
    </row>
    <row r="116" spans="2:9">
      <c r="B116" s="2">
        <v>46074</v>
      </c>
      <c r="C116" s="13" t="s">
        <v>5</v>
      </c>
      <c r="D116" s="20">
        <v>12.666666666666666</v>
      </c>
      <c r="E116" s="20">
        <v>31</v>
      </c>
      <c r="F116" s="20">
        <v>21.875</v>
      </c>
      <c r="G116" s="20">
        <v>25</v>
      </c>
      <c r="H116" s="20">
        <v>90.541666666666657</v>
      </c>
      <c r="I116" s="21">
        <v>95</v>
      </c>
    </row>
    <row r="117" spans="2:9">
      <c r="B117" s="1">
        <v>46074</v>
      </c>
      <c r="C117" s="12" t="s">
        <v>7</v>
      </c>
      <c r="D117" s="18">
        <v>12.666666666666666</v>
      </c>
      <c r="E117" s="18">
        <v>28.615384615384617</v>
      </c>
      <c r="F117" s="18">
        <v>18.75</v>
      </c>
      <c r="G117" s="18">
        <v>20.454545454545457</v>
      </c>
      <c r="H117" s="18">
        <v>80.486596736596738</v>
      </c>
      <c r="I117" s="19">
        <v>95</v>
      </c>
    </row>
    <row r="118" spans="2:9">
      <c r="B118" s="2">
        <v>46074</v>
      </c>
      <c r="C118" s="13" t="s">
        <v>11</v>
      </c>
      <c r="D118" s="20">
        <v>19</v>
      </c>
      <c r="E118" s="20">
        <v>31</v>
      </c>
      <c r="F118" s="20">
        <v>25</v>
      </c>
      <c r="G118" s="20">
        <v>25</v>
      </c>
      <c r="H118" s="20">
        <v>100</v>
      </c>
      <c r="I118" s="21">
        <v>95</v>
      </c>
    </row>
    <row r="119" spans="2:9">
      <c r="B119" s="1">
        <v>46074</v>
      </c>
      <c r="C119" s="12" t="s">
        <v>12</v>
      </c>
      <c r="D119" s="18">
        <v>19</v>
      </c>
      <c r="E119" s="18">
        <v>31</v>
      </c>
      <c r="F119" s="18">
        <v>25</v>
      </c>
      <c r="G119" s="18">
        <v>22.727272727272727</v>
      </c>
      <c r="H119" s="18">
        <v>97.72727272727272</v>
      </c>
      <c r="I119" s="19">
        <v>95</v>
      </c>
    </row>
    <row r="120" spans="2:9">
      <c r="B120" s="2">
        <v>46074</v>
      </c>
      <c r="C120" s="13" t="s">
        <v>13</v>
      </c>
      <c r="D120" s="20">
        <v>15.833333333333334</v>
      </c>
      <c r="E120" s="20">
        <v>31</v>
      </c>
      <c r="F120" s="20">
        <v>25</v>
      </c>
      <c r="G120" s="20">
        <v>22.727272727272727</v>
      </c>
      <c r="H120" s="20">
        <v>94.560606060606062</v>
      </c>
      <c r="I120" s="21">
        <v>95</v>
      </c>
    </row>
    <row r="121" spans="2:9">
      <c r="B121" s="1">
        <v>46074</v>
      </c>
      <c r="C121" s="12" t="s">
        <v>6</v>
      </c>
      <c r="D121" s="18">
        <v>15.833333333333334</v>
      </c>
      <c r="E121" s="18">
        <v>31</v>
      </c>
      <c r="F121" s="18">
        <v>21.875</v>
      </c>
      <c r="G121" s="18">
        <v>25</v>
      </c>
      <c r="H121" s="18">
        <v>93.708333333333343</v>
      </c>
      <c r="I121" s="19">
        <v>95</v>
      </c>
    </row>
    <row r="122" spans="2:9">
      <c r="B122" s="2">
        <v>46074</v>
      </c>
      <c r="C122" s="13" t="s">
        <v>14</v>
      </c>
      <c r="D122" s="20">
        <v>19</v>
      </c>
      <c r="E122" s="20">
        <v>31</v>
      </c>
      <c r="F122" s="20">
        <v>25</v>
      </c>
      <c r="G122" s="20">
        <v>25</v>
      </c>
      <c r="H122" s="20">
        <v>100</v>
      </c>
      <c r="I122" s="21">
        <v>95</v>
      </c>
    </row>
    <row r="123" spans="2:9">
      <c r="B123" s="1">
        <v>46074</v>
      </c>
      <c r="C123" s="12" t="s">
        <v>4</v>
      </c>
      <c r="D123" s="18">
        <v>15.833333333333334</v>
      </c>
      <c r="E123" s="18">
        <v>31</v>
      </c>
      <c r="F123" s="18">
        <v>18.75</v>
      </c>
      <c r="G123" s="18">
        <v>25</v>
      </c>
      <c r="H123" s="18">
        <v>90.583333333333343</v>
      </c>
      <c r="I123" s="19">
        <v>95</v>
      </c>
    </row>
    <row r="124" spans="2:9">
      <c r="B124" s="2">
        <v>46074</v>
      </c>
      <c r="C124" s="13" t="s">
        <v>8</v>
      </c>
      <c r="D124" s="20">
        <v>12.666666666666666</v>
      </c>
      <c r="E124" s="20">
        <v>26.23076923076923</v>
      </c>
      <c r="F124" s="20">
        <v>21.875</v>
      </c>
      <c r="G124" s="20">
        <v>25</v>
      </c>
      <c r="H124" s="20">
        <v>85.772435897435898</v>
      </c>
      <c r="I124" s="21">
        <v>95</v>
      </c>
    </row>
    <row r="125" spans="2:9">
      <c r="B125" s="1">
        <v>46074</v>
      </c>
      <c r="C125" s="12" t="s">
        <v>15</v>
      </c>
      <c r="D125" s="18">
        <v>19</v>
      </c>
      <c r="E125" s="18">
        <v>31</v>
      </c>
      <c r="F125" s="18">
        <v>25</v>
      </c>
      <c r="G125" s="18">
        <v>25</v>
      </c>
      <c r="H125" s="18">
        <v>100</v>
      </c>
      <c r="I125" s="19">
        <v>95</v>
      </c>
    </row>
    <row r="126" spans="2:9">
      <c r="B126" s="2">
        <v>46074</v>
      </c>
      <c r="C126" s="13" t="s">
        <v>16</v>
      </c>
      <c r="D126" s="20">
        <v>19</v>
      </c>
      <c r="E126" s="20">
        <v>31</v>
      </c>
      <c r="F126" s="20">
        <v>25</v>
      </c>
      <c r="G126" s="20">
        <v>25</v>
      </c>
      <c r="H126" s="20">
        <v>100</v>
      </c>
      <c r="I126" s="21">
        <v>95</v>
      </c>
    </row>
    <row r="127" spans="2:9">
      <c r="B127" s="1">
        <v>46074</v>
      </c>
      <c r="C127" s="12" t="s">
        <v>18</v>
      </c>
      <c r="D127" s="18">
        <v>19</v>
      </c>
      <c r="E127" s="18">
        <v>31</v>
      </c>
      <c r="F127" s="18">
        <v>25</v>
      </c>
      <c r="G127" s="18">
        <v>25</v>
      </c>
      <c r="H127" s="18">
        <v>100</v>
      </c>
      <c r="I127" s="19">
        <v>95</v>
      </c>
    </row>
    <row r="128" spans="2:9">
      <c r="B128" s="2">
        <v>46074</v>
      </c>
      <c r="C128" s="13" t="s">
        <v>19</v>
      </c>
      <c r="D128" s="20">
        <v>19</v>
      </c>
      <c r="E128" s="20">
        <v>28.615384615384617</v>
      </c>
      <c r="F128" s="20">
        <v>21.875</v>
      </c>
      <c r="G128" s="20">
        <v>22.727272727272727</v>
      </c>
      <c r="H128" s="20">
        <v>92.217657342657333</v>
      </c>
      <c r="I128" s="21">
        <v>95</v>
      </c>
    </row>
    <row r="129" spans="2:9">
      <c r="B129" s="1">
        <v>46074</v>
      </c>
      <c r="C129" s="12" t="s">
        <v>10</v>
      </c>
      <c r="D129" s="18">
        <v>19</v>
      </c>
      <c r="E129" s="18">
        <v>31</v>
      </c>
      <c r="F129" s="18">
        <v>21.875</v>
      </c>
      <c r="G129" s="18">
        <v>25</v>
      </c>
      <c r="H129" s="18">
        <v>96.875</v>
      </c>
      <c r="I129" s="19">
        <v>95</v>
      </c>
    </row>
    <row r="130" spans="2:9">
      <c r="B130" s="2">
        <v>46074</v>
      </c>
      <c r="C130" s="13" t="s">
        <v>17</v>
      </c>
      <c r="D130" s="20">
        <v>12.666666666666666</v>
      </c>
      <c r="E130" s="20">
        <v>28.615384615384617</v>
      </c>
      <c r="F130" s="20">
        <v>21.875</v>
      </c>
      <c r="G130" s="20">
        <v>20.454545454545457</v>
      </c>
      <c r="H130" s="20">
        <v>83.611596736596738</v>
      </c>
      <c r="I130" s="21">
        <v>95</v>
      </c>
    </row>
    <row r="131" spans="2:9">
      <c r="B131" s="1">
        <v>46081</v>
      </c>
      <c r="C131" s="12" t="s">
        <v>2</v>
      </c>
      <c r="D131" s="18">
        <v>19</v>
      </c>
      <c r="E131" s="18">
        <v>31</v>
      </c>
      <c r="F131" s="18">
        <v>21.875</v>
      </c>
      <c r="G131" s="18">
        <v>25</v>
      </c>
      <c r="H131" s="18">
        <v>96.875</v>
      </c>
      <c r="I131" s="19">
        <v>95</v>
      </c>
    </row>
    <row r="132" spans="2:9">
      <c r="B132" s="2">
        <v>46081</v>
      </c>
      <c r="C132" s="13" t="s">
        <v>5</v>
      </c>
      <c r="D132" s="20">
        <v>19</v>
      </c>
      <c r="E132" s="20">
        <v>31</v>
      </c>
      <c r="F132" s="20">
        <v>18.75</v>
      </c>
      <c r="G132" s="20">
        <v>22.727272727272727</v>
      </c>
      <c r="H132" s="20">
        <v>91.47727272727272</v>
      </c>
      <c r="I132" s="21">
        <v>95</v>
      </c>
    </row>
    <row r="133" spans="2:9">
      <c r="B133" s="1">
        <v>46081</v>
      </c>
      <c r="C133" s="12" t="s">
        <v>7</v>
      </c>
      <c r="D133" s="18">
        <v>15.833333333333334</v>
      </c>
      <c r="E133" s="18">
        <v>31</v>
      </c>
      <c r="F133" s="18">
        <v>21.875</v>
      </c>
      <c r="G133" s="18">
        <v>22.727272727272727</v>
      </c>
      <c r="H133" s="18">
        <v>91.435606060606062</v>
      </c>
      <c r="I133" s="19">
        <v>95</v>
      </c>
    </row>
    <row r="134" spans="2:9">
      <c r="B134" s="2">
        <v>46081</v>
      </c>
      <c r="C134" s="13" t="s">
        <v>11</v>
      </c>
      <c r="D134" s="20">
        <v>15.833333333333334</v>
      </c>
      <c r="E134" s="20">
        <v>28.615384615384617</v>
      </c>
      <c r="F134" s="20">
        <v>25</v>
      </c>
      <c r="G134" s="20">
        <v>22.727272727272727</v>
      </c>
      <c r="H134" s="20">
        <v>92.175990675990676</v>
      </c>
      <c r="I134" s="21">
        <v>95</v>
      </c>
    </row>
    <row r="135" spans="2:9">
      <c r="B135" s="1">
        <v>46081</v>
      </c>
      <c r="C135" s="12" t="s">
        <v>12</v>
      </c>
      <c r="D135" s="18">
        <v>19</v>
      </c>
      <c r="E135" s="18">
        <v>31</v>
      </c>
      <c r="F135" s="18">
        <v>25</v>
      </c>
      <c r="G135" s="18">
        <v>25</v>
      </c>
      <c r="H135" s="18">
        <v>100</v>
      </c>
      <c r="I135" s="19">
        <v>95</v>
      </c>
    </row>
    <row r="136" spans="2:9">
      <c r="B136" s="2">
        <v>46081</v>
      </c>
      <c r="C136" s="13" t="s">
        <v>9</v>
      </c>
      <c r="D136" s="20">
        <v>19</v>
      </c>
      <c r="E136" s="20">
        <v>31</v>
      </c>
      <c r="F136" s="20">
        <v>25</v>
      </c>
      <c r="G136" s="20">
        <v>25</v>
      </c>
      <c r="H136" s="20">
        <v>100</v>
      </c>
      <c r="I136" s="21">
        <v>95</v>
      </c>
    </row>
    <row r="137" spans="2:9">
      <c r="B137" s="1">
        <v>46081</v>
      </c>
      <c r="C137" s="12" t="s">
        <v>13</v>
      </c>
      <c r="D137" s="18">
        <v>15.833333333333334</v>
      </c>
      <c r="E137" s="18">
        <v>31</v>
      </c>
      <c r="F137" s="18">
        <v>21.875</v>
      </c>
      <c r="G137" s="18">
        <v>22.727272727272727</v>
      </c>
      <c r="H137" s="18">
        <v>91.435606060606062</v>
      </c>
      <c r="I137" s="19">
        <v>95</v>
      </c>
    </row>
    <row r="138" spans="2:9">
      <c r="B138" s="2">
        <v>46081</v>
      </c>
      <c r="C138" s="13" t="s">
        <v>6</v>
      </c>
      <c r="D138" s="20">
        <v>12.666666666666666</v>
      </c>
      <c r="E138" s="20">
        <v>28.615384615384617</v>
      </c>
      <c r="F138" s="20">
        <v>15.625</v>
      </c>
      <c r="G138" s="20">
        <v>22.727272727272727</v>
      </c>
      <c r="H138" s="20">
        <v>79.634324009324018</v>
      </c>
      <c r="I138" s="21">
        <v>95</v>
      </c>
    </row>
    <row r="139" spans="2:9">
      <c r="B139" s="1">
        <v>46081</v>
      </c>
      <c r="C139" s="12" t="s">
        <v>14</v>
      </c>
      <c r="D139" s="18">
        <v>15.833333333333334</v>
      </c>
      <c r="E139" s="18">
        <v>31</v>
      </c>
      <c r="F139" s="18">
        <v>25</v>
      </c>
      <c r="G139" s="18">
        <v>25</v>
      </c>
      <c r="H139" s="18">
        <v>96.833333333333343</v>
      </c>
      <c r="I139" s="19">
        <v>95</v>
      </c>
    </row>
    <row r="140" spans="2:9">
      <c r="B140" s="2">
        <v>46081</v>
      </c>
      <c r="C140" s="13" t="s">
        <v>4</v>
      </c>
      <c r="D140" s="20">
        <v>12.666666666666666</v>
      </c>
      <c r="E140" s="20">
        <v>31</v>
      </c>
      <c r="F140" s="20">
        <v>18.75</v>
      </c>
      <c r="G140" s="20">
        <v>22.727272727272727</v>
      </c>
      <c r="H140" s="20">
        <v>85.143939393939391</v>
      </c>
      <c r="I140" s="21">
        <v>95</v>
      </c>
    </row>
    <row r="141" spans="2:9">
      <c r="B141" s="1">
        <v>46081</v>
      </c>
      <c r="C141" s="12" t="s">
        <v>8</v>
      </c>
      <c r="D141" s="18">
        <v>19</v>
      </c>
      <c r="E141" s="18">
        <v>31</v>
      </c>
      <c r="F141" s="18">
        <v>21.875</v>
      </c>
      <c r="G141" s="18">
        <v>22.727272727272727</v>
      </c>
      <c r="H141" s="18">
        <v>94.60227272727272</v>
      </c>
      <c r="I141" s="19">
        <v>95</v>
      </c>
    </row>
    <row r="142" spans="2:9">
      <c r="B142" s="2">
        <v>46081</v>
      </c>
      <c r="C142" s="13" t="s">
        <v>15</v>
      </c>
      <c r="D142" s="20">
        <v>19</v>
      </c>
      <c r="E142" s="20">
        <v>31</v>
      </c>
      <c r="F142" s="20">
        <v>25</v>
      </c>
      <c r="G142" s="20">
        <v>25</v>
      </c>
      <c r="H142" s="20">
        <v>100</v>
      </c>
      <c r="I142" s="21">
        <v>95</v>
      </c>
    </row>
    <row r="143" spans="2:9">
      <c r="B143" s="1">
        <v>46081</v>
      </c>
      <c r="C143" s="12" t="s">
        <v>16</v>
      </c>
      <c r="D143" s="18">
        <v>19</v>
      </c>
      <c r="E143" s="18">
        <v>28.615384615384617</v>
      </c>
      <c r="F143" s="18">
        <v>25</v>
      </c>
      <c r="G143" s="18">
        <v>25</v>
      </c>
      <c r="H143" s="18">
        <v>97.615384615384613</v>
      </c>
      <c r="I143" s="19">
        <v>95</v>
      </c>
    </row>
    <row r="144" spans="2:9">
      <c r="B144" s="2">
        <v>46081</v>
      </c>
      <c r="C144" s="13" t="s">
        <v>18</v>
      </c>
      <c r="D144" s="20">
        <v>19</v>
      </c>
      <c r="E144" s="20">
        <v>31</v>
      </c>
      <c r="F144" s="20">
        <v>25</v>
      </c>
      <c r="G144" s="20">
        <v>22.727272727272727</v>
      </c>
      <c r="H144" s="20">
        <v>97.72727272727272</v>
      </c>
      <c r="I144" s="21">
        <v>95</v>
      </c>
    </row>
    <row r="145" spans="2:9">
      <c r="B145" s="1">
        <v>46081</v>
      </c>
      <c r="C145" s="12" t="s">
        <v>19</v>
      </c>
      <c r="D145" s="18">
        <v>19</v>
      </c>
      <c r="E145" s="18">
        <v>28.615384615384617</v>
      </c>
      <c r="F145" s="18">
        <v>21.875</v>
      </c>
      <c r="G145" s="18">
        <v>22.727272727272727</v>
      </c>
      <c r="H145" s="18">
        <v>92.217657342657333</v>
      </c>
      <c r="I145" s="19">
        <v>95</v>
      </c>
    </row>
    <row r="146" spans="2:9">
      <c r="B146" s="2">
        <v>46081</v>
      </c>
      <c r="C146" s="13" t="s">
        <v>10</v>
      </c>
      <c r="D146" s="20">
        <v>19</v>
      </c>
      <c r="E146" s="20">
        <v>31</v>
      </c>
      <c r="F146" s="20">
        <v>21.875</v>
      </c>
      <c r="G146" s="20">
        <v>25</v>
      </c>
      <c r="H146" s="20">
        <v>96.875</v>
      </c>
      <c r="I146" s="21">
        <v>95</v>
      </c>
    </row>
    <row r="147" spans="2:9">
      <c r="B147" s="1">
        <v>46081</v>
      </c>
      <c r="C147" s="12" t="s">
        <v>17</v>
      </c>
      <c r="D147" s="18">
        <v>12.666666666666666</v>
      </c>
      <c r="E147" s="18">
        <v>28.615384615384617</v>
      </c>
      <c r="F147" s="18">
        <v>21.875</v>
      </c>
      <c r="G147" s="18">
        <v>20.454545454545457</v>
      </c>
      <c r="H147" s="18">
        <v>83.611596736596738</v>
      </c>
      <c r="I147" s="19">
        <v>95</v>
      </c>
    </row>
    <row r="148" spans="2:9">
      <c r="B148" s="2">
        <v>46088</v>
      </c>
      <c r="C148" s="13" t="s">
        <v>2</v>
      </c>
      <c r="D148" s="20">
        <v>15.833333333333334</v>
      </c>
      <c r="E148" s="20">
        <v>31</v>
      </c>
      <c r="F148" s="20">
        <v>21.875</v>
      </c>
      <c r="G148" s="20">
        <v>25</v>
      </c>
      <c r="H148" s="20">
        <v>93.708333333333343</v>
      </c>
      <c r="I148" s="21">
        <v>95</v>
      </c>
    </row>
    <row r="149" spans="2:9">
      <c r="B149" s="1">
        <v>46088</v>
      </c>
      <c r="C149" s="12" t="s">
        <v>5</v>
      </c>
      <c r="D149" s="18">
        <v>15.833333333333334</v>
      </c>
      <c r="E149" s="18">
        <v>31</v>
      </c>
      <c r="F149" s="18">
        <v>25</v>
      </c>
      <c r="G149" s="18">
        <v>25</v>
      </c>
      <c r="H149" s="18">
        <v>96.833333333333343</v>
      </c>
      <c r="I149" s="19">
        <v>95</v>
      </c>
    </row>
    <row r="150" spans="2:9">
      <c r="B150" s="2">
        <v>46088</v>
      </c>
      <c r="C150" s="13" t="s">
        <v>7</v>
      </c>
      <c r="D150" s="20">
        <v>12.666666666666666</v>
      </c>
      <c r="E150" s="20">
        <v>23.846153846153847</v>
      </c>
      <c r="F150" s="20">
        <v>21.875</v>
      </c>
      <c r="G150" s="20">
        <v>25</v>
      </c>
      <c r="H150" s="20">
        <v>83.387820512820511</v>
      </c>
      <c r="I150" s="21">
        <v>95</v>
      </c>
    </row>
    <row r="151" spans="2:9">
      <c r="B151" s="1">
        <v>46088</v>
      </c>
      <c r="C151" s="12" t="s">
        <v>11</v>
      </c>
      <c r="D151" s="18">
        <v>15.833333333333334</v>
      </c>
      <c r="E151" s="18">
        <v>31</v>
      </c>
      <c r="F151" s="18">
        <v>21.875</v>
      </c>
      <c r="G151" s="18">
        <v>25</v>
      </c>
      <c r="H151" s="18">
        <v>93.708333333333343</v>
      </c>
      <c r="I151" s="19">
        <v>95</v>
      </c>
    </row>
    <row r="152" spans="2:9">
      <c r="B152" s="2">
        <v>46088</v>
      </c>
      <c r="C152" s="13" t="s">
        <v>12</v>
      </c>
      <c r="D152" s="20">
        <v>19</v>
      </c>
      <c r="E152" s="20">
        <v>31</v>
      </c>
      <c r="F152" s="20">
        <v>25</v>
      </c>
      <c r="G152" s="20">
        <v>22.727272727272727</v>
      </c>
      <c r="H152" s="20">
        <v>97.72727272727272</v>
      </c>
      <c r="I152" s="21">
        <v>95</v>
      </c>
    </row>
    <row r="153" spans="2:9">
      <c r="B153" s="1">
        <v>46088</v>
      </c>
      <c r="C153" s="12" t="s">
        <v>9</v>
      </c>
      <c r="D153" s="18">
        <v>19</v>
      </c>
      <c r="E153" s="18">
        <v>31</v>
      </c>
      <c r="F153" s="18">
        <v>25</v>
      </c>
      <c r="G153" s="18">
        <v>25</v>
      </c>
      <c r="H153" s="18">
        <v>100</v>
      </c>
      <c r="I153" s="19">
        <v>95</v>
      </c>
    </row>
    <row r="154" spans="2:9">
      <c r="B154" s="2">
        <v>46088</v>
      </c>
      <c r="C154" s="13" t="s">
        <v>13</v>
      </c>
      <c r="D154" s="20">
        <v>12.666666666666666</v>
      </c>
      <c r="E154" s="20">
        <v>28.615384615384617</v>
      </c>
      <c r="F154" s="20">
        <v>18.75</v>
      </c>
      <c r="G154" s="20">
        <v>25</v>
      </c>
      <c r="H154" s="20">
        <v>85.032051282051285</v>
      </c>
      <c r="I154" s="21">
        <v>95</v>
      </c>
    </row>
    <row r="155" spans="2:9">
      <c r="B155" s="1">
        <v>46088</v>
      </c>
      <c r="C155" s="12" t="s">
        <v>6</v>
      </c>
      <c r="D155" s="18">
        <v>12.666666666666666</v>
      </c>
      <c r="E155" s="18">
        <v>31</v>
      </c>
      <c r="F155" s="18">
        <v>25</v>
      </c>
      <c r="G155" s="18">
        <v>22.727272727272727</v>
      </c>
      <c r="H155" s="18">
        <v>91.393939393939377</v>
      </c>
      <c r="I155" s="19">
        <v>95</v>
      </c>
    </row>
    <row r="156" spans="2:9">
      <c r="B156" s="2">
        <v>46088</v>
      </c>
      <c r="C156" s="13" t="s">
        <v>14</v>
      </c>
      <c r="D156" s="20">
        <v>15.833333333333334</v>
      </c>
      <c r="E156" s="20">
        <v>28.615384615384617</v>
      </c>
      <c r="F156" s="20">
        <v>18.75</v>
      </c>
      <c r="G156" s="20">
        <v>25</v>
      </c>
      <c r="H156" s="20">
        <v>88.198717948717956</v>
      </c>
      <c r="I156" s="21">
        <v>95</v>
      </c>
    </row>
    <row r="157" spans="2:9">
      <c r="B157" s="1">
        <v>46088</v>
      </c>
      <c r="C157" s="12" t="s">
        <v>4</v>
      </c>
      <c r="D157" s="18">
        <v>19</v>
      </c>
      <c r="E157" s="18">
        <v>31</v>
      </c>
      <c r="F157" s="18">
        <v>18.75</v>
      </c>
      <c r="G157" s="18">
        <v>22.727272727272727</v>
      </c>
      <c r="H157" s="18">
        <v>91.47727272727272</v>
      </c>
      <c r="I157" s="19">
        <v>95</v>
      </c>
    </row>
    <row r="158" spans="2:9">
      <c r="B158" s="2">
        <v>46088</v>
      </c>
      <c r="C158" s="13" t="s">
        <v>8</v>
      </c>
      <c r="D158" s="20">
        <v>15.833333333333334</v>
      </c>
      <c r="E158" s="20">
        <v>28.615384615384617</v>
      </c>
      <c r="F158" s="20">
        <v>21.875</v>
      </c>
      <c r="G158" s="20">
        <v>25</v>
      </c>
      <c r="H158" s="20">
        <v>91.323717948717956</v>
      </c>
      <c r="I158" s="21">
        <v>95</v>
      </c>
    </row>
    <row r="159" spans="2:9">
      <c r="B159" s="1">
        <v>46088</v>
      </c>
      <c r="C159" s="12" t="s">
        <v>15</v>
      </c>
      <c r="D159" s="18">
        <v>19</v>
      </c>
      <c r="E159" s="18">
        <v>31</v>
      </c>
      <c r="F159" s="18">
        <v>25</v>
      </c>
      <c r="G159" s="18">
        <v>22.727272727272727</v>
      </c>
      <c r="H159" s="18">
        <v>97.72727272727272</v>
      </c>
      <c r="I159" s="19">
        <v>95</v>
      </c>
    </row>
    <row r="160" spans="2:9">
      <c r="B160" s="2">
        <v>46088</v>
      </c>
      <c r="C160" s="13" t="s">
        <v>16</v>
      </c>
      <c r="D160" s="20">
        <v>19</v>
      </c>
      <c r="E160" s="20">
        <v>31</v>
      </c>
      <c r="F160" s="20">
        <v>25</v>
      </c>
      <c r="G160" s="20">
        <v>25</v>
      </c>
      <c r="H160" s="20">
        <v>100</v>
      </c>
      <c r="I160" s="21">
        <v>95</v>
      </c>
    </row>
    <row r="161" spans="2:9">
      <c r="B161" s="1">
        <v>46088</v>
      </c>
      <c r="C161" s="12" t="s">
        <v>18</v>
      </c>
      <c r="D161" s="18">
        <v>19</v>
      </c>
      <c r="E161" s="18">
        <v>31</v>
      </c>
      <c r="F161" s="18">
        <v>25</v>
      </c>
      <c r="G161" s="18">
        <v>25</v>
      </c>
      <c r="H161" s="18">
        <v>100</v>
      </c>
      <c r="I161" s="19">
        <v>95</v>
      </c>
    </row>
    <row r="162" spans="2:9">
      <c r="B162" s="2">
        <v>46088</v>
      </c>
      <c r="C162" s="13" t="s">
        <v>19</v>
      </c>
      <c r="D162" s="20">
        <v>19</v>
      </c>
      <c r="E162" s="20">
        <v>31</v>
      </c>
      <c r="F162" s="20">
        <v>25</v>
      </c>
      <c r="G162" s="20">
        <v>25</v>
      </c>
      <c r="H162" s="20">
        <v>100</v>
      </c>
      <c r="I162" s="21">
        <v>95</v>
      </c>
    </row>
    <row r="163" spans="2:9">
      <c r="B163" s="1">
        <v>46088</v>
      </c>
      <c r="C163" s="12" t="s">
        <v>10</v>
      </c>
      <c r="D163" s="18">
        <v>19</v>
      </c>
      <c r="E163" s="18">
        <v>31</v>
      </c>
      <c r="F163" s="18">
        <v>25</v>
      </c>
      <c r="G163" s="18">
        <v>22.727272727272727</v>
      </c>
      <c r="H163" s="18">
        <v>97.72727272727272</v>
      </c>
      <c r="I163" s="19">
        <v>95</v>
      </c>
    </row>
    <row r="164" spans="2:9">
      <c r="B164" s="2">
        <v>46088</v>
      </c>
      <c r="C164" s="13" t="s">
        <v>17</v>
      </c>
      <c r="D164" s="20">
        <v>9.5</v>
      </c>
      <c r="E164" s="20">
        <v>28.615384615384617</v>
      </c>
      <c r="F164" s="20">
        <v>21.875</v>
      </c>
      <c r="G164" s="20">
        <v>20.454545454545457</v>
      </c>
      <c r="H164" s="20">
        <v>80.444930069930066</v>
      </c>
      <c r="I164" s="21">
        <v>95</v>
      </c>
    </row>
    <row r="165" spans="2:9">
      <c r="B165" s="1">
        <v>46095</v>
      </c>
      <c r="C165" s="12" t="s">
        <v>2</v>
      </c>
      <c r="D165" s="18">
        <v>19</v>
      </c>
      <c r="E165" s="18">
        <v>28.615384615384617</v>
      </c>
      <c r="F165" s="18">
        <v>18.75</v>
      </c>
      <c r="G165" s="18">
        <v>25</v>
      </c>
      <c r="H165" s="18">
        <v>91.365384615384613</v>
      </c>
      <c r="I165" s="19">
        <v>95</v>
      </c>
    </row>
    <row r="166" spans="2:9">
      <c r="B166" s="2">
        <v>46095</v>
      </c>
      <c r="C166" s="13" t="s">
        <v>5</v>
      </c>
      <c r="D166" s="20">
        <v>19</v>
      </c>
      <c r="E166" s="20">
        <v>31</v>
      </c>
      <c r="F166" s="20">
        <v>25</v>
      </c>
      <c r="G166" s="20">
        <v>25</v>
      </c>
      <c r="H166" s="20">
        <v>100</v>
      </c>
      <c r="I166" s="21">
        <v>95</v>
      </c>
    </row>
    <row r="167" spans="2:9">
      <c r="B167" s="1">
        <v>46095</v>
      </c>
      <c r="C167" s="12" t="s">
        <v>7</v>
      </c>
      <c r="D167" s="18">
        <v>15.833333333333334</v>
      </c>
      <c r="E167" s="18">
        <v>28.615384615384617</v>
      </c>
      <c r="F167" s="18">
        <v>18.75</v>
      </c>
      <c r="G167" s="18">
        <v>20.454545454545457</v>
      </c>
      <c r="H167" s="18">
        <v>83.653263403263409</v>
      </c>
      <c r="I167" s="19">
        <v>95</v>
      </c>
    </row>
    <row r="168" spans="2:9">
      <c r="B168" s="2">
        <v>46095</v>
      </c>
      <c r="C168" s="13" t="s">
        <v>11</v>
      </c>
      <c r="D168" s="20">
        <v>19</v>
      </c>
      <c r="E168" s="20">
        <v>26.23076923076923</v>
      </c>
      <c r="F168" s="20">
        <v>25</v>
      </c>
      <c r="G168" s="20">
        <v>25</v>
      </c>
      <c r="H168" s="20">
        <v>95.230769230769226</v>
      </c>
      <c r="I168" s="21">
        <v>95</v>
      </c>
    </row>
    <row r="169" spans="2:9">
      <c r="B169" s="1">
        <v>46095</v>
      </c>
      <c r="C169" s="12" t="s">
        <v>12</v>
      </c>
      <c r="D169" s="18">
        <v>19</v>
      </c>
      <c r="E169" s="18">
        <v>31</v>
      </c>
      <c r="F169" s="18">
        <v>25</v>
      </c>
      <c r="G169" s="18">
        <v>22.727272727272727</v>
      </c>
      <c r="H169" s="18">
        <v>97.72727272727272</v>
      </c>
      <c r="I169" s="19">
        <v>95</v>
      </c>
    </row>
    <row r="170" spans="2:9">
      <c r="B170" s="2">
        <v>46095</v>
      </c>
      <c r="C170" s="13" t="s">
        <v>13</v>
      </c>
      <c r="D170" s="20">
        <v>15.833333333333334</v>
      </c>
      <c r="E170" s="20">
        <v>28.615384615384617</v>
      </c>
      <c r="F170" s="20">
        <v>25</v>
      </c>
      <c r="G170" s="20">
        <v>25</v>
      </c>
      <c r="H170" s="20">
        <v>94.448717948717956</v>
      </c>
      <c r="I170" s="21">
        <v>95</v>
      </c>
    </row>
    <row r="171" spans="2:9">
      <c r="B171" s="1">
        <v>46095</v>
      </c>
      <c r="C171" s="12" t="s">
        <v>6</v>
      </c>
      <c r="D171" s="18">
        <v>15.833333333333334</v>
      </c>
      <c r="E171" s="18">
        <v>28.615384615384617</v>
      </c>
      <c r="F171" s="18">
        <v>18.75</v>
      </c>
      <c r="G171" s="18">
        <v>25</v>
      </c>
      <c r="H171" s="18">
        <v>88.198717948717956</v>
      </c>
      <c r="I171" s="19">
        <v>95</v>
      </c>
    </row>
    <row r="172" spans="2:9">
      <c r="B172" s="2">
        <v>46095</v>
      </c>
      <c r="C172" s="13" t="s">
        <v>14</v>
      </c>
      <c r="D172" s="20">
        <v>15.833333333333334</v>
      </c>
      <c r="E172" s="20">
        <v>31</v>
      </c>
      <c r="F172" s="20">
        <v>18.75</v>
      </c>
      <c r="G172" s="20">
        <v>25</v>
      </c>
      <c r="H172" s="20">
        <v>90.583333333333343</v>
      </c>
      <c r="I172" s="21">
        <v>95</v>
      </c>
    </row>
    <row r="173" spans="2:9">
      <c r="B173" s="1">
        <v>46095</v>
      </c>
      <c r="C173" s="12" t="s">
        <v>4</v>
      </c>
      <c r="D173" s="18">
        <v>12.666666666666666</v>
      </c>
      <c r="E173" s="18">
        <v>31</v>
      </c>
      <c r="F173" s="18">
        <v>18.75</v>
      </c>
      <c r="G173" s="18">
        <v>25</v>
      </c>
      <c r="H173" s="18">
        <v>87.416666666666657</v>
      </c>
      <c r="I173" s="19">
        <v>95</v>
      </c>
    </row>
    <row r="174" spans="2:9">
      <c r="B174" s="2">
        <v>46095</v>
      </c>
      <c r="C174" s="13" t="s">
        <v>8</v>
      </c>
      <c r="D174" s="20">
        <v>15.833333333333334</v>
      </c>
      <c r="E174" s="20">
        <v>28.615384615384617</v>
      </c>
      <c r="F174" s="20">
        <v>18.75</v>
      </c>
      <c r="G174" s="20">
        <v>25</v>
      </c>
      <c r="H174" s="20">
        <v>88.198717948717956</v>
      </c>
      <c r="I174" s="21">
        <v>95</v>
      </c>
    </row>
    <row r="175" spans="2:9">
      <c r="B175" s="1">
        <v>46095</v>
      </c>
      <c r="C175" s="12" t="s">
        <v>15</v>
      </c>
      <c r="D175" s="18">
        <v>19</v>
      </c>
      <c r="E175" s="18">
        <v>31</v>
      </c>
      <c r="F175" s="18">
        <v>25</v>
      </c>
      <c r="G175" s="18">
        <v>25</v>
      </c>
      <c r="H175" s="18">
        <v>100</v>
      </c>
      <c r="I175" s="19">
        <v>95</v>
      </c>
    </row>
    <row r="176" spans="2:9">
      <c r="B176" s="2">
        <v>46095</v>
      </c>
      <c r="C176" s="13" t="s">
        <v>16</v>
      </c>
      <c r="D176" s="20">
        <v>19</v>
      </c>
      <c r="E176" s="20">
        <v>31</v>
      </c>
      <c r="F176" s="20">
        <v>25</v>
      </c>
      <c r="G176" s="20">
        <v>25</v>
      </c>
      <c r="H176" s="20">
        <v>100</v>
      </c>
      <c r="I176" s="21">
        <v>95</v>
      </c>
    </row>
    <row r="177" spans="2:9">
      <c r="B177" s="1">
        <v>46095</v>
      </c>
      <c r="C177" s="12" t="s">
        <v>18</v>
      </c>
      <c r="D177" s="18">
        <v>15.833333333333334</v>
      </c>
      <c r="E177" s="18">
        <v>28.615384615384617</v>
      </c>
      <c r="F177" s="18">
        <v>25</v>
      </c>
      <c r="G177" s="18">
        <v>25</v>
      </c>
      <c r="H177" s="18">
        <v>94.448717948717956</v>
      </c>
      <c r="I177" s="19">
        <v>95</v>
      </c>
    </row>
    <row r="178" spans="2:9">
      <c r="B178" s="2">
        <v>46095</v>
      </c>
      <c r="C178" s="13" t="s">
        <v>19</v>
      </c>
      <c r="D178" s="20">
        <v>19</v>
      </c>
      <c r="E178" s="20">
        <v>31</v>
      </c>
      <c r="F178" s="20">
        <v>25</v>
      </c>
      <c r="G178" s="20">
        <v>25</v>
      </c>
      <c r="H178" s="20">
        <v>100</v>
      </c>
      <c r="I178" s="21">
        <v>95</v>
      </c>
    </row>
    <row r="179" spans="2:9">
      <c r="B179" s="1">
        <v>46095</v>
      </c>
      <c r="C179" s="12" t="s">
        <v>10</v>
      </c>
      <c r="D179" s="18">
        <v>19</v>
      </c>
      <c r="E179" s="18">
        <v>28.615384615384617</v>
      </c>
      <c r="F179" s="18">
        <v>25</v>
      </c>
      <c r="G179" s="18">
        <v>22.727272727272727</v>
      </c>
      <c r="H179" s="18">
        <v>95.342657342657333</v>
      </c>
      <c r="I179" s="19">
        <v>95</v>
      </c>
    </row>
    <row r="180" spans="2:9">
      <c r="B180" s="2">
        <v>46095</v>
      </c>
      <c r="C180" s="13" t="s">
        <v>17</v>
      </c>
      <c r="D180" s="20">
        <v>9.5</v>
      </c>
      <c r="E180" s="20">
        <v>28.615384615384617</v>
      </c>
      <c r="F180" s="20">
        <v>21.875</v>
      </c>
      <c r="G180" s="20">
        <v>20.454545454545457</v>
      </c>
      <c r="H180" s="20">
        <v>80.444930069930066</v>
      </c>
      <c r="I180" s="21">
        <v>95</v>
      </c>
    </row>
    <row r="181" spans="2:9">
      <c r="B181" s="1">
        <v>46102</v>
      </c>
      <c r="C181" s="12" t="s">
        <v>2</v>
      </c>
      <c r="D181" s="18">
        <v>15.833333333333334</v>
      </c>
      <c r="E181" s="18">
        <v>31</v>
      </c>
      <c r="F181" s="18">
        <v>18.75</v>
      </c>
      <c r="G181" s="18">
        <v>25</v>
      </c>
      <c r="H181" s="18">
        <v>90.583333333333343</v>
      </c>
      <c r="I181" s="19">
        <v>95</v>
      </c>
    </row>
    <row r="182" spans="2:9">
      <c r="B182" s="2">
        <v>46102</v>
      </c>
      <c r="C182" s="13" t="s">
        <v>5</v>
      </c>
      <c r="D182" s="20">
        <v>15.833333333333334</v>
      </c>
      <c r="E182" s="20">
        <v>28.615384615384617</v>
      </c>
      <c r="F182" s="20">
        <v>25</v>
      </c>
      <c r="G182" s="20">
        <v>22.727272727272727</v>
      </c>
      <c r="H182" s="20">
        <v>92.175990675990676</v>
      </c>
      <c r="I182" s="21">
        <v>95</v>
      </c>
    </row>
    <row r="183" spans="2:9">
      <c r="B183" s="1">
        <v>46102</v>
      </c>
      <c r="C183" s="12" t="s">
        <v>7</v>
      </c>
      <c r="D183" s="18">
        <v>12.666666666666666</v>
      </c>
      <c r="E183" s="18">
        <v>31</v>
      </c>
      <c r="F183" s="18">
        <v>18.75</v>
      </c>
      <c r="G183" s="18">
        <v>20.454545454545457</v>
      </c>
      <c r="H183" s="18">
        <v>82.871212121212125</v>
      </c>
      <c r="I183" s="19">
        <v>95</v>
      </c>
    </row>
    <row r="184" spans="2:9">
      <c r="B184" s="2">
        <v>46102</v>
      </c>
      <c r="C184" s="13" t="s">
        <v>11</v>
      </c>
      <c r="D184" s="20">
        <v>19</v>
      </c>
      <c r="E184" s="20">
        <v>31</v>
      </c>
      <c r="F184" s="20">
        <v>21.875</v>
      </c>
      <c r="G184" s="20">
        <v>25</v>
      </c>
      <c r="H184" s="20">
        <v>96.875</v>
      </c>
      <c r="I184" s="21">
        <v>95</v>
      </c>
    </row>
    <row r="185" spans="2:9">
      <c r="B185" s="1">
        <v>46102</v>
      </c>
      <c r="C185" s="12" t="s">
        <v>12</v>
      </c>
      <c r="D185" s="18">
        <v>19</v>
      </c>
      <c r="E185" s="18">
        <v>28.615384615384617</v>
      </c>
      <c r="F185" s="18">
        <v>25</v>
      </c>
      <c r="G185" s="18">
        <v>20.454545454545457</v>
      </c>
      <c r="H185" s="18">
        <v>93.069930069930066</v>
      </c>
      <c r="I185" s="19">
        <v>95</v>
      </c>
    </row>
    <row r="186" spans="2:9">
      <c r="B186" s="2">
        <v>46102</v>
      </c>
      <c r="C186" s="13" t="s">
        <v>13</v>
      </c>
      <c r="D186" s="20">
        <v>19</v>
      </c>
      <c r="E186" s="20">
        <v>31</v>
      </c>
      <c r="F186" s="20">
        <v>21.875</v>
      </c>
      <c r="G186" s="20">
        <v>22.727272727272727</v>
      </c>
      <c r="H186" s="20">
        <v>94.60227272727272</v>
      </c>
      <c r="I186" s="21">
        <v>95</v>
      </c>
    </row>
    <row r="187" spans="2:9">
      <c r="B187" s="1">
        <v>46102</v>
      </c>
      <c r="C187" s="12" t="s">
        <v>6</v>
      </c>
      <c r="D187" s="18">
        <v>19</v>
      </c>
      <c r="E187" s="18">
        <v>28.615384615384617</v>
      </c>
      <c r="F187" s="18">
        <v>15.625</v>
      </c>
      <c r="G187" s="18">
        <v>22.727272727272727</v>
      </c>
      <c r="H187" s="18">
        <v>85.967657342657333</v>
      </c>
      <c r="I187" s="19">
        <v>95</v>
      </c>
    </row>
    <row r="188" spans="2:9">
      <c r="B188" s="2">
        <v>46102</v>
      </c>
      <c r="C188" s="13" t="s">
        <v>14</v>
      </c>
      <c r="D188" s="20">
        <v>19</v>
      </c>
      <c r="E188" s="20">
        <v>31</v>
      </c>
      <c r="F188" s="20">
        <v>18.75</v>
      </c>
      <c r="G188" s="20">
        <v>22.727272727272727</v>
      </c>
      <c r="H188" s="20">
        <v>91.47727272727272</v>
      </c>
      <c r="I188" s="21">
        <v>95</v>
      </c>
    </row>
    <row r="189" spans="2:9">
      <c r="B189" s="1">
        <v>46102</v>
      </c>
      <c r="C189" s="12" t="s">
        <v>4</v>
      </c>
      <c r="D189" s="18">
        <v>19</v>
      </c>
      <c r="E189" s="18">
        <v>31</v>
      </c>
      <c r="F189" s="18">
        <v>18.75</v>
      </c>
      <c r="G189" s="18">
        <v>25</v>
      </c>
      <c r="H189" s="18">
        <v>93.75</v>
      </c>
      <c r="I189" s="19">
        <v>95</v>
      </c>
    </row>
    <row r="190" spans="2:9">
      <c r="B190" s="2">
        <v>46102</v>
      </c>
      <c r="C190" s="13" t="s">
        <v>8</v>
      </c>
      <c r="D190" s="20">
        <v>19</v>
      </c>
      <c r="E190" s="20">
        <v>26.23076923076923</v>
      </c>
      <c r="F190" s="20">
        <v>9.375</v>
      </c>
      <c r="G190" s="20">
        <v>22.727272727272727</v>
      </c>
      <c r="H190" s="20">
        <v>77.333041958041946</v>
      </c>
      <c r="I190" s="21">
        <v>95</v>
      </c>
    </row>
    <row r="191" spans="2:9">
      <c r="B191" s="1">
        <v>46102</v>
      </c>
      <c r="C191" s="12" t="s">
        <v>15</v>
      </c>
      <c r="D191" s="18">
        <v>19</v>
      </c>
      <c r="E191" s="18">
        <v>31</v>
      </c>
      <c r="F191" s="18">
        <v>25</v>
      </c>
      <c r="G191" s="18">
        <v>25</v>
      </c>
      <c r="H191" s="18">
        <v>100</v>
      </c>
      <c r="I191" s="19">
        <v>95</v>
      </c>
    </row>
    <row r="192" spans="2:9">
      <c r="B192" s="2">
        <v>46102</v>
      </c>
      <c r="C192" s="13" t="s">
        <v>16</v>
      </c>
      <c r="D192" s="20">
        <v>15.833333333333334</v>
      </c>
      <c r="E192" s="20">
        <v>31</v>
      </c>
      <c r="F192" s="20">
        <v>25</v>
      </c>
      <c r="G192" s="20">
        <v>25</v>
      </c>
      <c r="H192" s="20">
        <v>96.833333333333343</v>
      </c>
      <c r="I192" s="21">
        <v>95</v>
      </c>
    </row>
    <row r="193" spans="2:9">
      <c r="B193" s="1">
        <v>46102</v>
      </c>
      <c r="C193" s="12" t="s">
        <v>18</v>
      </c>
      <c r="D193" s="18">
        <v>19</v>
      </c>
      <c r="E193" s="18">
        <v>31</v>
      </c>
      <c r="F193" s="18">
        <v>25</v>
      </c>
      <c r="G193" s="18">
        <v>25</v>
      </c>
      <c r="H193" s="18">
        <v>100</v>
      </c>
      <c r="I193" s="19">
        <v>95</v>
      </c>
    </row>
    <row r="194" spans="2:9">
      <c r="B194" s="2">
        <v>46102</v>
      </c>
      <c r="C194" s="13" t="s">
        <v>19</v>
      </c>
      <c r="D194" s="20">
        <v>19</v>
      </c>
      <c r="E194" s="20">
        <v>31</v>
      </c>
      <c r="F194" s="20">
        <v>25</v>
      </c>
      <c r="G194" s="20">
        <v>25</v>
      </c>
      <c r="H194" s="20">
        <v>100</v>
      </c>
      <c r="I194" s="21">
        <v>95</v>
      </c>
    </row>
    <row r="195" spans="2:9">
      <c r="B195" s="1">
        <v>46102</v>
      </c>
      <c r="C195" s="12" t="s">
        <v>10</v>
      </c>
      <c r="D195" s="18">
        <v>19</v>
      </c>
      <c r="E195" s="18">
        <v>31</v>
      </c>
      <c r="F195" s="18">
        <v>25</v>
      </c>
      <c r="G195" s="18">
        <v>25</v>
      </c>
      <c r="H195" s="18">
        <v>100</v>
      </c>
      <c r="I195" s="19">
        <v>95</v>
      </c>
    </row>
    <row r="196" spans="2:9">
      <c r="B196" s="2">
        <v>46102</v>
      </c>
      <c r="C196" s="13" t="s">
        <v>17</v>
      </c>
      <c r="D196" s="20">
        <v>9.5</v>
      </c>
      <c r="E196" s="20">
        <v>26.23076923076923</v>
      </c>
      <c r="F196" s="20">
        <v>18.75</v>
      </c>
      <c r="G196" s="20">
        <v>18.181818181818183</v>
      </c>
      <c r="H196" s="20">
        <v>72.662587412587413</v>
      </c>
      <c r="I196" s="21">
        <v>95</v>
      </c>
    </row>
    <row r="197" spans="2:9">
      <c r="B197" s="1">
        <v>46109</v>
      </c>
      <c r="C197" s="12" t="s">
        <v>2</v>
      </c>
      <c r="D197" s="18">
        <v>19</v>
      </c>
      <c r="E197" s="18">
        <v>28.615384615384617</v>
      </c>
      <c r="F197" s="18">
        <v>21.875</v>
      </c>
      <c r="G197" s="18">
        <v>25</v>
      </c>
      <c r="H197" s="18">
        <v>94.490384615384613</v>
      </c>
      <c r="I197" s="19">
        <v>95</v>
      </c>
    </row>
    <row r="198" spans="2:9">
      <c r="B198" s="2">
        <v>46109</v>
      </c>
      <c r="C198" s="13" t="s">
        <v>5</v>
      </c>
      <c r="D198" s="20">
        <v>15.833333333333334</v>
      </c>
      <c r="E198" s="20">
        <v>28.615384615384617</v>
      </c>
      <c r="F198" s="20">
        <v>25</v>
      </c>
      <c r="G198" s="20">
        <v>25</v>
      </c>
      <c r="H198" s="20">
        <v>94.448717948717956</v>
      </c>
      <c r="I198" s="21">
        <v>95</v>
      </c>
    </row>
    <row r="199" spans="2:9">
      <c r="B199" s="1">
        <v>46109</v>
      </c>
      <c r="C199" s="12" t="s">
        <v>7</v>
      </c>
      <c r="D199" s="18">
        <v>15.833333333333334</v>
      </c>
      <c r="E199" s="18">
        <v>31</v>
      </c>
      <c r="F199" s="18">
        <v>21.875</v>
      </c>
      <c r="G199" s="18">
        <v>25</v>
      </c>
      <c r="H199" s="18">
        <v>93.708333333333343</v>
      </c>
      <c r="I199" s="19">
        <v>95</v>
      </c>
    </row>
    <row r="200" spans="2:9">
      <c r="B200" s="2">
        <v>46109</v>
      </c>
      <c r="C200" s="13" t="s">
        <v>11</v>
      </c>
      <c r="D200" s="20">
        <v>19</v>
      </c>
      <c r="E200" s="20">
        <v>26.23076923076923</v>
      </c>
      <c r="F200" s="20">
        <v>25</v>
      </c>
      <c r="G200" s="20">
        <v>25</v>
      </c>
      <c r="H200" s="20">
        <v>95.230769230769226</v>
      </c>
      <c r="I200" s="21">
        <v>95</v>
      </c>
    </row>
    <row r="201" spans="2:9">
      <c r="B201" s="1">
        <v>46109</v>
      </c>
      <c r="C201" s="12" t="s">
        <v>12</v>
      </c>
      <c r="D201" s="18">
        <v>19</v>
      </c>
      <c r="E201" s="18">
        <v>31</v>
      </c>
      <c r="F201" s="18">
        <v>25</v>
      </c>
      <c r="G201" s="18">
        <v>25</v>
      </c>
      <c r="H201" s="18">
        <v>100</v>
      </c>
      <c r="I201" s="19">
        <v>95</v>
      </c>
    </row>
    <row r="202" spans="2:9">
      <c r="B202" s="2">
        <v>46109</v>
      </c>
      <c r="C202" s="13" t="s">
        <v>13</v>
      </c>
      <c r="D202" s="20">
        <v>15.833333333333334</v>
      </c>
      <c r="E202" s="20">
        <v>31</v>
      </c>
      <c r="F202" s="20">
        <v>21.875</v>
      </c>
      <c r="G202" s="20">
        <v>25</v>
      </c>
      <c r="H202" s="20">
        <v>93.708333333333343</v>
      </c>
      <c r="I202" s="21">
        <v>95</v>
      </c>
    </row>
    <row r="203" spans="2:9">
      <c r="B203" s="1">
        <v>46109</v>
      </c>
      <c r="C203" s="12" t="s">
        <v>6</v>
      </c>
      <c r="D203" s="18">
        <v>15.833333333333334</v>
      </c>
      <c r="E203" s="18">
        <v>28.615384615384617</v>
      </c>
      <c r="F203" s="18">
        <v>25</v>
      </c>
      <c r="G203" s="18">
        <v>25</v>
      </c>
      <c r="H203" s="18">
        <v>94.448717948717956</v>
      </c>
      <c r="I203" s="19">
        <v>95</v>
      </c>
    </row>
    <row r="204" spans="2:9">
      <c r="B204" s="2">
        <v>46109</v>
      </c>
      <c r="C204" s="13" t="s">
        <v>14</v>
      </c>
      <c r="D204" s="20">
        <v>19</v>
      </c>
      <c r="E204" s="20">
        <v>31</v>
      </c>
      <c r="F204" s="20">
        <v>18.75</v>
      </c>
      <c r="G204" s="20">
        <v>25</v>
      </c>
      <c r="H204" s="20">
        <v>93.75</v>
      </c>
      <c r="I204" s="21">
        <v>95</v>
      </c>
    </row>
    <row r="205" spans="2:9">
      <c r="B205" s="1">
        <v>46109</v>
      </c>
      <c r="C205" s="12" t="s">
        <v>4</v>
      </c>
      <c r="D205" s="18">
        <v>19</v>
      </c>
      <c r="E205" s="18">
        <v>28.615384615384617</v>
      </c>
      <c r="F205" s="18">
        <v>18.75</v>
      </c>
      <c r="G205" s="18">
        <v>25</v>
      </c>
      <c r="H205" s="18">
        <v>91.365384615384613</v>
      </c>
      <c r="I205" s="19">
        <v>95</v>
      </c>
    </row>
    <row r="206" spans="2:9">
      <c r="B206" s="2">
        <v>46109</v>
      </c>
      <c r="C206" s="13" t="s">
        <v>8</v>
      </c>
      <c r="D206" s="20">
        <v>19</v>
      </c>
      <c r="E206" s="20">
        <v>28.615384615384617</v>
      </c>
      <c r="F206" s="20">
        <v>21.875</v>
      </c>
      <c r="G206" s="20">
        <v>25</v>
      </c>
      <c r="H206" s="20">
        <v>94.490384615384613</v>
      </c>
      <c r="I206" s="21">
        <v>95</v>
      </c>
    </row>
    <row r="207" spans="2:9">
      <c r="B207" s="1">
        <v>46109</v>
      </c>
      <c r="C207" s="12" t="s">
        <v>15</v>
      </c>
      <c r="D207" s="18">
        <v>19</v>
      </c>
      <c r="E207" s="18">
        <v>31</v>
      </c>
      <c r="F207" s="18">
        <v>25</v>
      </c>
      <c r="G207" s="18">
        <v>25</v>
      </c>
      <c r="H207" s="18">
        <v>100</v>
      </c>
      <c r="I207" s="19">
        <v>95</v>
      </c>
    </row>
    <row r="208" spans="2:9">
      <c r="B208" s="2">
        <v>46109</v>
      </c>
      <c r="C208" s="13" t="s">
        <v>16</v>
      </c>
      <c r="D208" s="20">
        <v>19</v>
      </c>
      <c r="E208" s="20">
        <v>26.23076923076923</v>
      </c>
      <c r="F208" s="20">
        <v>25</v>
      </c>
      <c r="G208" s="20">
        <v>25</v>
      </c>
      <c r="H208" s="20">
        <v>95.230769230769226</v>
      </c>
      <c r="I208" s="21">
        <v>95</v>
      </c>
    </row>
    <row r="209" spans="2:9">
      <c r="B209" s="1">
        <v>46109</v>
      </c>
      <c r="C209" s="12" t="s">
        <v>18</v>
      </c>
      <c r="D209" s="18">
        <v>19</v>
      </c>
      <c r="E209" s="18">
        <v>31</v>
      </c>
      <c r="F209" s="18">
        <v>25</v>
      </c>
      <c r="G209" s="18">
        <v>25</v>
      </c>
      <c r="H209" s="18">
        <v>100</v>
      </c>
      <c r="I209" s="19">
        <v>95</v>
      </c>
    </row>
    <row r="210" spans="2:9">
      <c r="B210" s="2">
        <v>46109</v>
      </c>
      <c r="C210" s="13" t="s">
        <v>19</v>
      </c>
      <c r="D210" s="20">
        <v>19</v>
      </c>
      <c r="E210" s="20">
        <v>31</v>
      </c>
      <c r="F210" s="20">
        <v>25</v>
      </c>
      <c r="G210" s="20">
        <v>25</v>
      </c>
      <c r="H210" s="20">
        <v>100</v>
      </c>
      <c r="I210" s="21">
        <v>95</v>
      </c>
    </row>
    <row r="211" spans="2:9">
      <c r="B211" s="1">
        <v>46109</v>
      </c>
      <c r="C211" s="12" t="s">
        <v>10</v>
      </c>
      <c r="D211" s="18">
        <v>19</v>
      </c>
      <c r="E211" s="18">
        <v>28.615384615384617</v>
      </c>
      <c r="F211" s="18">
        <v>25</v>
      </c>
      <c r="G211" s="18">
        <v>25</v>
      </c>
      <c r="H211" s="18">
        <v>97.615384615384613</v>
      </c>
      <c r="I211" s="19">
        <v>95</v>
      </c>
    </row>
    <row r="212" spans="2:9">
      <c r="B212" s="2">
        <v>46109</v>
      </c>
      <c r="C212" s="13" t="s">
        <v>17</v>
      </c>
      <c r="D212" s="20">
        <v>12.666666666666666</v>
      </c>
      <c r="E212" s="20">
        <v>28.615384615384617</v>
      </c>
      <c r="F212" s="20">
        <v>21.875</v>
      </c>
      <c r="G212" s="20">
        <v>25</v>
      </c>
      <c r="H212" s="20">
        <v>88.157051282051285</v>
      </c>
      <c r="I212" s="21">
        <v>95</v>
      </c>
    </row>
    <row r="213" spans="2:9">
      <c r="B213" s="1">
        <v>46116</v>
      </c>
      <c r="C213" s="12" t="s">
        <v>2</v>
      </c>
      <c r="D213" s="18">
        <v>19</v>
      </c>
      <c r="E213" s="18">
        <v>31</v>
      </c>
      <c r="F213" s="18">
        <v>18.75</v>
      </c>
      <c r="G213" s="18">
        <v>25</v>
      </c>
      <c r="H213" s="18">
        <v>93.75</v>
      </c>
      <c r="I213" s="19">
        <v>95</v>
      </c>
    </row>
    <row r="214" spans="2:9">
      <c r="B214" s="2">
        <v>46116</v>
      </c>
      <c r="C214" s="13" t="s">
        <v>5</v>
      </c>
      <c r="D214" s="20">
        <v>15.833333333333334</v>
      </c>
      <c r="E214" s="20">
        <v>26.23076923076923</v>
      </c>
      <c r="F214" s="20">
        <v>21.875</v>
      </c>
      <c r="G214" s="20">
        <v>22.727272727272727</v>
      </c>
      <c r="H214" s="20">
        <v>86.666375291375289</v>
      </c>
      <c r="I214" s="21">
        <v>95</v>
      </c>
    </row>
    <row r="215" spans="2:9">
      <c r="B215" s="1">
        <v>46116</v>
      </c>
      <c r="C215" s="12" t="s">
        <v>7</v>
      </c>
      <c r="D215" s="18">
        <v>19</v>
      </c>
      <c r="E215" s="18">
        <v>28.615384615384617</v>
      </c>
      <c r="F215" s="18">
        <v>25</v>
      </c>
      <c r="G215" s="18">
        <v>22.727272727272727</v>
      </c>
      <c r="H215" s="18">
        <v>95.342657342657333</v>
      </c>
      <c r="I215" s="19">
        <v>95</v>
      </c>
    </row>
    <row r="216" spans="2:9">
      <c r="B216" s="2">
        <v>46116</v>
      </c>
      <c r="C216" s="13" t="s">
        <v>11</v>
      </c>
      <c r="D216" s="20">
        <v>19</v>
      </c>
      <c r="E216" s="20">
        <v>31</v>
      </c>
      <c r="F216" s="20">
        <v>25</v>
      </c>
      <c r="G216" s="20">
        <v>25</v>
      </c>
      <c r="H216" s="20">
        <v>100</v>
      </c>
      <c r="I216" s="21">
        <v>95</v>
      </c>
    </row>
    <row r="217" spans="2:9">
      <c r="B217" s="1">
        <v>46116</v>
      </c>
      <c r="C217" s="12" t="s">
        <v>12</v>
      </c>
      <c r="D217" s="18">
        <v>19</v>
      </c>
      <c r="E217" s="18">
        <v>31</v>
      </c>
      <c r="F217" s="18">
        <v>25</v>
      </c>
      <c r="G217" s="18">
        <v>22.727272727272727</v>
      </c>
      <c r="H217" s="18">
        <v>97.72727272727272</v>
      </c>
      <c r="I217" s="19">
        <v>95</v>
      </c>
    </row>
    <row r="218" spans="2:9">
      <c r="B218" s="2">
        <v>46116</v>
      </c>
      <c r="C218" s="13" t="s">
        <v>13</v>
      </c>
      <c r="D218" s="20">
        <v>19</v>
      </c>
      <c r="E218" s="20">
        <v>31</v>
      </c>
      <c r="F218" s="20">
        <v>25</v>
      </c>
      <c r="G218" s="20">
        <v>20.454545454545457</v>
      </c>
      <c r="H218" s="20">
        <v>95.454545454545453</v>
      </c>
      <c r="I218" s="21">
        <v>95</v>
      </c>
    </row>
    <row r="219" spans="2:9">
      <c r="B219" s="1">
        <v>46116</v>
      </c>
      <c r="C219" s="12" t="s">
        <v>6</v>
      </c>
      <c r="D219" s="18">
        <v>15.833333333333334</v>
      </c>
      <c r="E219" s="18">
        <v>23.846153846153847</v>
      </c>
      <c r="F219" s="18">
        <v>15.625</v>
      </c>
      <c r="G219" s="18">
        <v>22.727272727272727</v>
      </c>
      <c r="H219" s="18">
        <v>78.031759906759902</v>
      </c>
      <c r="I219" s="19">
        <v>95</v>
      </c>
    </row>
    <row r="220" spans="2:9">
      <c r="B220" s="2">
        <v>46116</v>
      </c>
      <c r="C220" s="13" t="s">
        <v>14</v>
      </c>
      <c r="D220" s="20">
        <v>19</v>
      </c>
      <c r="E220" s="20">
        <v>31</v>
      </c>
      <c r="F220" s="20">
        <v>21.875</v>
      </c>
      <c r="G220" s="20">
        <v>22.727272727272727</v>
      </c>
      <c r="H220" s="20">
        <v>94.60227272727272</v>
      </c>
      <c r="I220" s="21">
        <v>95</v>
      </c>
    </row>
    <row r="221" spans="2:9">
      <c r="B221" s="1">
        <v>46116</v>
      </c>
      <c r="C221" s="12" t="s">
        <v>4</v>
      </c>
      <c r="D221" s="18">
        <v>15.833333333333334</v>
      </c>
      <c r="E221" s="18">
        <v>31</v>
      </c>
      <c r="F221" s="18">
        <v>21.875</v>
      </c>
      <c r="G221" s="18">
        <v>22.727272727272727</v>
      </c>
      <c r="H221" s="18">
        <v>91.435606060606062</v>
      </c>
      <c r="I221" s="19">
        <v>95</v>
      </c>
    </row>
    <row r="222" spans="2:9">
      <c r="B222" s="2">
        <v>46116</v>
      </c>
      <c r="C222" s="13" t="s">
        <v>8</v>
      </c>
      <c r="D222" s="20">
        <v>15.833333333333334</v>
      </c>
      <c r="E222" s="20">
        <v>31</v>
      </c>
      <c r="F222" s="20">
        <v>18.75</v>
      </c>
      <c r="G222" s="20">
        <v>20.454545454545457</v>
      </c>
      <c r="H222" s="20">
        <v>86.037878787878796</v>
      </c>
      <c r="I222" s="21">
        <v>95</v>
      </c>
    </row>
    <row r="223" spans="2:9">
      <c r="B223" s="1">
        <v>46116</v>
      </c>
      <c r="C223" s="12" t="s">
        <v>15</v>
      </c>
      <c r="D223" s="18">
        <v>19</v>
      </c>
      <c r="E223" s="18">
        <v>31</v>
      </c>
      <c r="F223" s="18">
        <v>25</v>
      </c>
      <c r="G223" s="18">
        <v>25</v>
      </c>
      <c r="H223" s="18">
        <v>100</v>
      </c>
      <c r="I223" s="19">
        <v>95</v>
      </c>
    </row>
    <row r="224" spans="2:9">
      <c r="B224" s="2">
        <v>46116</v>
      </c>
      <c r="C224" s="13" t="s">
        <v>16</v>
      </c>
      <c r="D224" s="20">
        <v>19</v>
      </c>
      <c r="E224" s="20">
        <v>31</v>
      </c>
      <c r="F224" s="20">
        <v>25</v>
      </c>
      <c r="G224" s="20">
        <v>25</v>
      </c>
      <c r="H224" s="20">
        <v>100</v>
      </c>
      <c r="I224" s="21">
        <v>95</v>
      </c>
    </row>
    <row r="225" spans="2:9">
      <c r="B225" s="1">
        <v>46116</v>
      </c>
      <c r="C225" s="12" t="s">
        <v>18</v>
      </c>
      <c r="D225" s="18">
        <v>19</v>
      </c>
      <c r="E225" s="18">
        <v>31</v>
      </c>
      <c r="F225" s="18">
        <v>25</v>
      </c>
      <c r="G225" s="18">
        <v>22.727272727272727</v>
      </c>
      <c r="H225" s="18">
        <v>97.72727272727272</v>
      </c>
      <c r="I225" s="19">
        <v>95</v>
      </c>
    </row>
    <row r="226" spans="2:9">
      <c r="B226" s="2">
        <v>46116</v>
      </c>
      <c r="C226" s="13" t="s">
        <v>19</v>
      </c>
      <c r="D226" s="20">
        <v>19</v>
      </c>
      <c r="E226" s="20">
        <v>31</v>
      </c>
      <c r="F226" s="20">
        <v>25</v>
      </c>
      <c r="G226" s="20">
        <v>25</v>
      </c>
      <c r="H226" s="20">
        <v>100</v>
      </c>
      <c r="I226" s="21">
        <v>95</v>
      </c>
    </row>
    <row r="227" spans="2:9">
      <c r="B227" s="1">
        <v>46116</v>
      </c>
      <c r="C227" s="12" t="s">
        <v>10</v>
      </c>
      <c r="D227" s="18">
        <v>19</v>
      </c>
      <c r="E227" s="18">
        <v>31</v>
      </c>
      <c r="F227" s="18">
        <v>25</v>
      </c>
      <c r="G227" s="18">
        <v>25</v>
      </c>
      <c r="H227" s="18">
        <v>100</v>
      </c>
      <c r="I227" s="19">
        <v>95</v>
      </c>
    </row>
    <row r="228" spans="2:9">
      <c r="B228" s="2">
        <v>46116</v>
      </c>
      <c r="C228" s="13" t="s">
        <v>17</v>
      </c>
      <c r="D228" s="20">
        <v>12.666666666666666</v>
      </c>
      <c r="E228" s="20">
        <v>31</v>
      </c>
      <c r="F228" s="20">
        <v>25</v>
      </c>
      <c r="G228" s="20">
        <v>22.727272727272727</v>
      </c>
      <c r="H228" s="20">
        <v>91.393939393939377</v>
      </c>
      <c r="I228" s="21">
        <v>95</v>
      </c>
    </row>
    <row r="229" spans="2:9">
      <c r="B229" s="1">
        <v>46123</v>
      </c>
      <c r="C229" s="12" t="s">
        <v>2</v>
      </c>
      <c r="D229" s="18">
        <v>15.833333333333334</v>
      </c>
      <c r="E229" s="18">
        <v>28.615384615384617</v>
      </c>
      <c r="F229" s="18">
        <v>21.875</v>
      </c>
      <c r="G229" s="18">
        <v>22.727272727272727</v>
      </c>
      <c r="H229" s="18">
        <v>89.050990675990676</v>
      </c>
      <c r="I229" s="19">
        <v>95</v>
      </c>
    </row>
    <row r="230" spans="2:9">
      <c r="B230" s="2">
        <v>46123</v>
      </c>
      <c r="C230" s="13" t="s">
        <v>5</v>
      </c>
      <c r="D230" s="20">
        <v>12.666666666666666</v>
      </c>
      <c r="E230" s="20">
        <v>28.615384615384617</v>
      </c>
      <c r="F230" s="20">
        <v>21.875</v>
      </c>
      <c r="G230" s="20">
        <v>22.727272727272727</v>
      </c>
      <c r="H230" s="20">
        <v>85.884324009324018</v>
      </c>
      <c r="I230" s="21">
        <v>95</v>
      </c>
    </row>
    <row r="231" spans="2:9">
      <c r="B231" s="1">
        <v>46123</v>
      </c>
      <c r="C231" s="12" t="s">
        <v>7</v>
      </c>
      <c r="D231" s="18">
        <v>15.833333333333334</v>
      </c>
      <c r="E231" s="18">
        <v>28.615384615384617</v>
      </c>
      <c r="F231" s="18">
        <v>18.75</v>
      </c>
      <c r="G231" s="18">
        <v>22.727272727272727</v>
      </c>
      <c r="H231" s="18">
        <v>85.925990675990676</v>
      </c>
      <c r="I231" s="19">
        <v>95</v>
      </c>
    </row>
    <row r="232" spans="2:9">
      <c r="B232" s="2">
        <v>46123</v>
      </c>
      <c r="C232" s="13" t="s">
        <v>11</v>
      </c>
      <c r="D232" s="20">
        <v>19</v>
      </c>
      <c r="E232" s="20">
        <v>31</v>
      </c>
      <c r="F232" s="20">
        <v>25</v>
      </c>
      <c r="G232" s="20">
        <v>25</v>
      </c>
      <c r="H232" s="20">
        <v>100</v>
      </c>
      <c r="I232" s="21">
        <v>95</v>
      </c>
    </row>
    <row r="233" spans="2:9">
      <c r="B233" s="1">
        <v>46123</v>
      </c>
      <c r="C233" s="12" t="s">
        <v>12</v>
      </c>
      <c r="D233" s="18">
        <v>19</v>
      </c>
      <c r="E233" s="18">
        <v>31</v>
      </c>
      <c r="F233" s="18">
        <v>25</v>
      </c>
      <c r="G233" s="18">
        <v>25</v>
      </c>
      <c r="H233" s="18">
        <v>100</v>
      </c>
      <c r="I233" s="19">
        <v>95</v>
      </c>
    </row>
    <row r="234" spans="2:9">
      <c r="B234" s="2">
        <v>46123</v>
      </c>
      <c r="C234" s="13" t="s">
        <v>13</v>
      </c>
      <c r="D234" s="20">
        <v>15.833333333333334</v>
      </c>
      <c r="E234" s="20">
        <v>28.615384615384617</v>
      </c>
      <c r="F234" s="20">
        <v>25</v>
      </c>
      <c r="G234" s="20">
        <v>25</v>
      </c>
      <c r="H234" s="20">
        <v>94.448717948717956</v>
      </c>
      <c r="I234" s="21">
        <v>95</v>
      </c>
    </row>
    <row r="235" spans="2:9">
      <c r="B235" s="1">
        <v>46123</v>
      </c>
      <c r="C235" s="12" t="s">
        <v>6</v>
      </c>
      <c r="D235" s="18">
        <v>15.833333333333334</v>
      </c>
      <c r="E235" s="18">
        <v>28.615384615384617</v>
      </c>
      <c r="F235" s="18">
        <v>21.875</v>
      </c>
      <c r="G235" s="18">
        <v>22.727272727272727</v>
      </c>
      <c r="H235" s="18">
        <v>89.050990675990676</v>
      </c>
      <c r="I235" s="19">
        <v>95</v>
      </c>
    </row>
    <row r="236" spans="2:9">
      <c r="B236" s="2">
        <v>46123</v>
      </c>
      <c r="C236" s="13" t="s">
        <v>14</v>
      </c>
      <c r="D236" s="20">
        <v>19</v>
      </c>
      <c r="E236" s="20">
        <v>28.615384615384617</v>
      </c>
      <c r="F236" s="20">
        <v>21.875</v>
      </c>
      <c r="G236" s="20">
        <v>25</v>
      </c>
      <c r="H236" s="20">
        <v>94.490384615384613</v>
      </c>
      <c r="I236" s="21">
        <v>95</v>
      </c>
    </row>
    <row r="237" spans="2:9">
      <c r="B237" s="1">
        <v>46123</v>
      </c>
      <c r="C237" s="12" t="s">
        <v>4</v>
      </c>
      <c r="D237" s="18">
        <v>12.666666666666666</v>
      </c>
      <c r="E237" s="18">
        <v>28.615384615384617</v>
      </c>
      <c r="F237" s="18">
        <v>18.75</v>
      </c>
      <c r="G237" s="18">
        <v>25</v>
      </c>
      <c r="H237" s="18">
        <v>85.032051282051285</v>
      </c>
      <c r="I237" s="19">
        <v>95</v>
      </c>
    </row>
    <row r="238" spans="2:9">
      <c r="B238" s="2">
        <v>46123</v>
      </c>
      <c r="C238" s="13" t="s">
        <v>8</v>
      </c>
      <c r="D238" s="20">
        <v>15.833333333333334</v>
      </c>
      <c r="E238" s="20">
        <v>28.615384615384617</v>
      </c>
      <c r="F238" s="20">
        <v>15.625</v>
      </c>
      <c r="G238" s="20">
        <v>22.727272727272727</v>
      </c>
      <c r="H238" s="20">
        <v>82.800990675990676</v>
      </c>
      <c r="I238" s="21">
        <v>95</v>
      </c>
    </row>
    <row r="239" spans="2:9">
      <c r="B239" s="1">
        <v>46123</v>
      </c>
      <c r="C239" s="12" t="s">
        <v>15</v>
      </c>
      <c r="D239" s="18">
        <v>19</v>
      </c>
      <c r="E239" s="18">
        <v>31</v>
      </c>
      <c r="F239" s="18">
        <v>25</v>
      </c>
      <c r="G239" s="18">
        <v>25</v>
      </c>
      <c r="H239" s="18">
        <v>100</v>
      </c>
      <c r="I239" s="19">
        <v>95</v>
      </c>
    </row>
    <row r="240" spans="2:9">
      <c r="B240" s="2">
        <v>46123</v>
      </c>
      <c r="C240" s="13" t="s">
        <v>16</v>
      </c>
      <c r="D240" s="20">
        <v>15.833333333333334</v>
      </c>
      <c r="E240" s="20">
        <v>28.615384615384617</v>
      </c>
      <c r="F240" s="20">
        <v>18.75</v>
      </c>
      <c r="G240" s="20">
        <v>25</v>
      </c>
      <c r="H240" s="20">
        <v>88.198717948717956</v>
      </c>
      <c r="I240" s="21">
        <v>95</v>
      </c>
    </row>
    <row r="241" spans="2:9">
      <c r="B241" s="1">
        <v>46123</v>
      </c>
      <c r="C241" s="12" t="s">
        <v>18</v>
      </c>
      <c r="D241" s="18">
        <v>15.833333333333334</v>
      </c>
      <c r="E241" s="18">
        <v>28.615384615384617</v>
      </c>
      <c r="F241" s="18">
        <v>25</v>
      </c>
      <c r="G241" s="18">
        <v>25</v>
      </c>
      <c r="H241" s="18">
        <v>94.448717948717956</v>
      </c>
      <c r="I241" s="19">
        <v>95</v>
      </c>
    </row>
    <row r="242" spans="2:9">
      <c r="B242" s="2">
        <v>46123</v>
      </c>
      <c r="C242" s="13" t="s">
        <v>19</v>
      </c>
      <c r="D242" s="20">
        <v>15.833333333333334</v>
      </c>
      <c r="E242" s="20">
        <v>28.615384615384617</v>
      </c>
      <c r="F242" s="20">
        <v>25</v>
      </c>
      <c r="G242" s="20">
        <v>25</v>
      </c>
      <c r="H242" s="20">
        <v>94.448717948717956</v>
      </c>
      <c r="I242" s="21">
        <v>95</v>
      </c>
    </row>
    <row r="243" spans="2:9">
      <c r="B243" s="1">
        <v>46123</v>
      </c>
      <c r="C243" s="12" t="s">
        <v>10</v>
      </c>
      <c r="D243" s="18">
        <v>19</v>
      </c>
      <c r="E243" s="18">
        <v>26.23076923076923</v>
      </c>
      <c r="F243" s="18">
        <v>25</v>
      </c>
      <c r="G243" s="18">
        <v>22.727272727272727</v>
      </c>
      <c r="H243" s="18">
        <v>92.958041958041946</v>
      </c>
      <c r="I243" s="19">
        <v>95</v>
      </c>
    </row>
    <row r="244" spans="2:9">
      <c r="B244" s="2">
        <v>46123</v>
      </c>
      <c r="C244" s="13" t="s">
        <v>17</v>
      </c>
      <c r="D244" s="20">
        <v>15.833333333333334</v>
      </c>
      <c r="E244" s="20">
        <v>31</v>
      </c>
      <c r="F244" s="20">
        <v>25</v>
      </c>
      <c r="G244" s="20">
        <v>22.727272727272727</v>
      </c>
      <c r="H244" s="20">
        <v>94.560606060606062</v>
      </c>
      <c r="I244" s="21">
        <v>95</v>
      </c>
    </row>
    <row r="245" spans="2:9">
      <c r="B245" s="1">
        <v>46130</v>
      </c>
      <c r="C245" s="12" t="s">
        <v>2</v>
      </c>
      <c r="D245" s="18">
        <v>15.833333333333334</v>
      </c>
      <c r="E245" s="18">
        <v>28.615384615384617</v>
      </c>
      <c r="F245" s="18">
        <v>18.75</v>
      </c>
      <c r="G245" s="18">
        <v>25</v>
      </c>
      <c r="H245" s="18">
        <v>88.198717948717956</v>
      </c>
      <c r="I245" s="19">
        <v>95</v>
      </c>
    </row>
    <row r="246" spans="2:9">
      <c r="B246" s="2">
        <v>46130</v>
      </c>
      <c r="C246" s="13" t="s">
        <v>5</v>
      </c>
      <c r="D246" s="20">
        <v>12.666666666666666</v>
      </c>
      <c r="E246" s="20">
        <v>31</v>
      </c>
      <c r="F246" s="20">
        <v>21.875</v>
      </c>
      <c r="G246" s="20">
        <v>22.727272727272727</v>
      </c>
      <c r="H246" s="20">
        <v>88.268939393939377</v>
      </c>
      <c r="I246" s="21">
        <v>95</v>
      </c>
    </row>
    <row r="247" spans="2:9">
      <c r="B247" s="1">
        <v>46130</v>
      </c>
      <c r="C247" s="12" t="s">
        <v>7</v>
      </c>
      <c r="D247" s="18">
        <v>15.833333333333334</v>
      </c>
      <c r="E247" s="18">
        <v>31</v>
      </c>
      <c r="F247" s="18">
        <v>18.75</v>
      </c>
      <c r="G247" s="18">
        <v>22.727272727272727</v>
      </c>
      <c r="H247" s="18">
        <v>88.310606060606062</v>
      </c>
      <c r="I247" s="19">
        <v>95</v>
      </c>
    </row>
    <row r="248" spans="2:9">
      <c r="B248" s="2">
        <v>46130</v>
      </c>
      <c r="C248" s="13" t="s">
        <v>11</v>
      </c>
      <c r="D248" s="20">
        <v>19</v>
      </c>
      <c r="E248" s="20">
        <v>28.615384615384617</v>
      </c>
      <c r="F248" s="20">
        <v>25</v>
      </c>
      <c r="G248" s="20">
        <v>25</v>
      </c>
      <c r="H248" s="20">
        <v>97.615384615384613</v>
      </c>
      <c r="I248" s="21">
        <v>95</v>
      </c>
    </row>
    <row r="249" spans="2:9">
      <c r="B249" s="1">
        <v>46130</v>
      </c>
      <c r="C249" s="12" t="s">
        <v>12</v>
      </c>
      <c r="D249" s="18">
        <v>19</v>
      </c>
      <c r="E249" s="18">
        <v>31</v>
      </c>
      <c r="F249" s="18">
        <v>25</v>
      </c>
      <c r="G249" s="18">
        <v>22.727272727272727</v>
      </c>
      <c r="H249" s="18">
        <v>97.72727272727272</v>
      </c>
      <c r="I249" s="19">
        <v>95</v>
      </c>
    </row>
    <row r="250" spans="2:9">
      <c r="B250" s="2">
        <v>46130</v>
      </c>
      <c r="C250" s="13" t="s">
        <v>13</v>
      </c>
      <c r="D250" s="20">
        <v>15.833333333333334</v>
      </c>
      <c r="E250" s="20">
        <v>31</v>
      </c>
      <c r="F250" s="20">
        <v>21.875</v>
      </c>
      <c r="G250" s="20">
        <v>22.727272727272727</v>
      </c>
      <c r="H250" s="20">
        <v>91.435606060606062</v>
      </c>
      <c r="I250" s="21">
        <v>95</v>
      </c>
    </row>
    <row r="251" spans="2:9">
      <c r="B251" s="1">
        <v>46130</v>
      </c>
      <c r="C251" s="12" t="s">
        <v>6</v>
      </c>
      <c r="D251" s="18">
        <v>12.666666666666666</v>
      </c>
      <c r="E251" s="18">
        <v>28.615384615384617</v>
      </c>
      <c r="F251" s="18">
        <v>15.625</v>
      </c>
      <c r="G251" s="18">
        <v>25</v>
      </c>
      <c r="H251" s="18">
        <v>81.907051282051285</v>
      </c>
      <c r="I251" s="19">
        <v>95</v>
      </c>
    </row>
    <row r="252" spans="2:9">
      <c r="B252" s="2">
        <v>46130</v>
      </c>
      <c r="C252" s="13" t="s">
        <v>14</v>
      </c>
      <c r="D252" s="20">
        <v>19</v>
      </c>
      <c r="E252" s="20">
        <v>31</v>
      </c>
      <c r="F252" s="20">
        <v>18.75</v>
      </c>
      <c r="G252" s="20">
        <v>25</v>
      </c>
      <c r="H252" s="20">
        <v>93.75</v>
      </c>
      <c r="I252" s="21">
        <v>95</v>
      </c>
    </row>
    <row r="253" spans="2:9">
      <c r="B253" s="1">
        <v>46130</v>
      </c>
      <c r="C253" s="12" t="s">
        <v>4</v>
      </c>
      <c r="D253" s="18">
        <v>15.833333333333334</v>
      </c>
      <c r="E253" s="18">
        <v>31</v>
      </c>
      <c r="F253" s="18">
        <v>15.625</v>
      </c>
      <c r="G253" s="18">
        <v>22.727272727272727</v>
      </c>
      <c r="H253" s="18">
        <v>85.185606060606062</v>
      </c>
      <c r="I253" s="19">
        <v>95</v>
      </c>
    </row>
    <row r="254" spans="2:9">
      <c r="B254" s="2">
        <v>46130</v>
      </c>
      <c r="C254" s="13" t="s">
        <v>8</v>
      </c>
      <c r="D254" s="20">
        <v>15.833333333333334</v>
      </c>
      <c r="E254" s="20">
        <v>31</v>
      </c>
      <c r="F254" s="20">
        <v>18.75</v>
      </c>
      <c r="G254" s="20">
        <v>25</v>
      </c>
      <c r="H254" s="20">
        <v>90.583333333333343</v>
      </c>
      <c r="I254" s="21">
        <v>95</v>
      </c>
    </row>
    <row r="255" spans="2:9">
      <c r="B255" s="1">
        <v>46130</v>
      </c>
      <c r="C255" s="12" t="s">
        <v>15</v>
      </c>
      <c r="D255" s="18">
        <v>19</v>
      </c>
      <c r="E255" s="18">
        <v>31</v>
      </c>
      <c r="F255" s="18">
        <v>25</v>
      </c>
      <c r="G255" s="18">
        <v>25</v>
      </c>
      <c r="H255" s="18">
        <v>100</v>
      </c>
      <c r="I255" s="19">
        <v>95</v>
      </c>
    </row>
    <row r="256" spans="2:9">
      <c r="B256" s="2">
        <v>46130</v>
      </c>
      <c r="C256" s="13" t="s">
        <v>16</v>
      </c>
      <c r="D256" s="20">
        <v>15.833333333333334</v>
      </c>
      <c r="E256" s="20">
        <v>28.615384615384617</v>
      </c>
      <c r="F256" s="20">
        <v>21.875</v>
      </c>
      <c r="G256" s="20">
        <v>25</v>
      </c>
      <c r="H256" s="20">
        <v>91.323717948717956</v>
      </c>
      <c r="I256" s="21">
        <v>95</v>
      </c>
    </row>
    <row r="257" spans="2:9">
      <c r="B257" s="1">
        <v>46130</v>
      </c>
      <c r="C257" s="12" t="s">
        <v>18</v>
      </c>
      <c r="D257" s="18">
        <v>19</v>
      </c>
      <c r="E257" s="18">
        <v>31</v>
      </c>
      <c r="F257" s="18">
        <v>25</v>
      </c>
      <c r="G257" s="18">
        <v>25</v>
      </c>
      <c r="H257" s="18">
        <v>100</v>
      </c>
      <c r="I257" s="19">
        <v>95</v>
      </c>
    </row>
    <row r="258" spans="2:9">
      <c r="B258" s="2">
        <v>46130</v>
      </c>
      <c r="C258" s="13" t="s">
        <v>19</v>
      </c>
      <c r="D258" s="20">
        <v>19</v>
      </c>
      <c r="E258" s="20">
        <v>31</v>
      </c>
      <c r="F258" s="20">
        <v>21.875</v>
      </c>
      <c r="G258" s="20">
        <v>25</v>
      </c>
      <c r="H258" s="20">
        <v>96.875</v>
      </c>
      <c r="I258" s="21">
        <v>95</v>
      </c>
    </row>
    <row r="259" spans="2:9">
      <c r="B259" s="1">
        <v>46130</v>
      </c>
      <c r="C259" s="12" t="s">
        <v>10</v>
      </c>
      <c r="D259" s="18">
        <v>19</v>
      </c>
      <c r="E259" s="18">
        <v>28.615384615384617</v>
      </c>
      <c r="F259" s="18">
        <v>21.875</v>
      </c>
      <c r="G259" s="18">
        <v>25</v>
      </c>
      <c r="H259" s="18">
        <v>94.490384615384613</v>
      </c>
      <c r="I259" s="19">
        <v>95</v>
      </c>
    </row>
    <row r="260" spans="2:9">
      <c r="B260" s="2">
        <v>46130</v>
      </c>
      <c r="C260" s="13" t="s">
        <v>17</v>
      </c>
      <c r="D260" s="20">
        <v>12.666666666666666</v>
      </c>
      <c r="E260" s="20">
        <v>26.23076923076923</v>
      </c>
      <c r="F260" s="20">
        <v>21.875</v>
      </c>
      <c r="G260" s="20">
        <v>20.454545454545457</v>
      </c>
      <c r="H260" s="20">
        <v>81.226981351981351</v>
      </c>
      <c r="I260" s="21">
        <v>95</v>
      </c>
    </row>
    <row r="261" spans="2:9">
      <c r="B261" s="1">
        <v>46137</v>
      </c>
      <c r="C261" s="12" t="s">
        <v>2</v>
      </c>
      <c r="D261" s="18">
        <v>19</v>
      </c>
      <c r="E261" s="18">
        <v>28.615384615384617</v>
      </c>
      <c r="F261" s="18">
        <v>18.75</v>
      </c>
      <c r="G261" s="18">
        <v>25</v>
      </c>
      <c r="H261" s="18">
        <v>91.365384615384613</v>
      </c>
      <c r="I261" s="19">
        <v>95</v>
      </c>
    </row>
    <row r="262" spans="2:9">
      <c r="B262" s="2">
        <v>46137</v>
      </c>
      <c r="C262" s="13" t="s">
        <v>5</v>
      </c>
      <c r="D262" s="20">
        <v>12.666666666666666</v>
      </c>
      <c r="E262" s="20">
        <v>28.615384615384617</v>
      </c>
      <c r="F262" s="20">
        <v>18.75</v>
      </c>
      <c r="G262" s="20">
        <v>22.727272727272727</v>
      </c>
      <c r="H262" s="20">
        <v>82.759324009324018</v>
      </c>
      <c r="I262" s="21">
        <v>95</v>
      </c>
    </row>
    <row r="263" spans="2:9">
      <c r="B263" s="1">
        <v>46137</v>
      </c>
      <c r="C263" s="12" t="s">
        <v>7</v>
      </c>
      <c r="D263" s="18">
        <v>12.666666666666666</v>
      </c>
      <c r="E263" s="18">
        <v>28.615384615384617</v>
      </c>
      <c r="F263" s="18">
        <v>18.75</v>
      </c>
      <c r="G263" s="18">
        <v>18.181818181818183</v>
      </c>
      <c r="H263" s="18">
        <v>78.213869463869472</v>
      </c>
      <c r="I263" s="19">
        <v>95</v>
      </c>
    </row>
    <row r="264" spans="2:9">
      <c r="B264" s="2">
        <v>46137</v>
      </c>
      <c r="C264" s="13" t="s">
        <v>11</v>
      </c>
      <c r="D264" s="20">
        <v>15.833333333333334</v>
      </c>
      <c r="E264" s="20">
        <v>31</v>
      </c>
      <c r="F264" s="20">
        <v>25</v>
      </c>
      <c r="G264" s="20">
        <v>25</v>
      </c>
      <c r="H264" s="20">
        <v>96.833333333333343</v>
      </c>
      <c r="I264" s="21">
        <v>95</v>
      </c>
    </row>
    <row r="265" spans="2:9">
      <c r="B265" s="1">
        <v>46137</v>
      </c>
      <c r="C265" s="12" t="s">
        <v>12</v>
      </c>
      <c r="D265" s="18">
        <v>19</v>
      </c>
      <c r="E265" s="18">
        <v>28.615384615384617</v>
      </c>
      <c r="F265" s="18">
        <v>25</v>
      </c>
      <c r="G265" s="18">
        <v>25</v>
      </c>
      <c r="H265" s="18">
        <v>97.615384615384613</v>
      </c>
      <c r="I265" s="19">
        <v>95</v>
      </c>
    </row>
    <row r="266" spans="2:9">
      <c r="B266" s="2">
        <v>46137</v>
      </c>
      <c r="C266" s="13" t="s">
        <v>13</v>
      </c>
      <c r="D266" s="20">
        <v>19</v>
      </c>
      <c r="E266" s="20">
        <v>28.615384615384617</v>
      </c>
      <c r="F266" s="20">
        <v>25</v>
      </c>
      <c r="G266" s="20">
        <v>22.727272727272727</v>
      </c>
      <c r="H266" s="20">
        <v>95.342657342657333</v>
      </c>
      <c r="I266" s="21">
        <v>95</v>
      </c>
    </row>
    <row r="267" spans="2:9">
      <c r="B267" s="1">
        <v>46137</v>
      </c>
      <c r="C267" s="12" t="s">
        <v>6</v>
      </c>
      <c r="D267" s="18">
        <v>15.833333333333334</v>
      </c>
      <c r="E267" s="18">
        <v>28.615384615384617</v>
      </c>
      <c r="F267" s="18">
        <v>18.75</v>
      </c>
      <c r="G267" s="18">
        <v>20.454545454545457</v>
      </c>
      <c r="H267" s="18">
        <v>83.653263403263409</v>
      </c>
      <c r="I267" s="19">
        <v>95</v>
      </c>
    </row>
    <row r="268" spans="2:9">
      <c r="B268" s="2">
        <v>46137</v>
      </c>
      <c r="C268" s="13" t="s">
        <v>14</v>
      </c>
      <c r="D268" s="20">
        <v>12.666666666666666</v>
      </c>
      <c r="E268" s="20">
        <v>28.615384615384617</v>
      </c>
      <c r="F268" s="20">
        <v>21.875</v>
      </c>
      <c r="G268" s="20">
        <v>22.727272727272727</v>
      </c>
      <c r="H268" s="20">
        <v>85.884324009324018</v>
      </c>
      <c r="I268" s="21">
        <v>95</v>
      </c>
    </row>
    <row r="269" spans="2:9">
      <c r="B269" s="1">
        <v>46137</v>
      </c>
      <c r="C269" s="12" t="s">
        <v>4</v>
      </c>
      <c r="D269" s="18">
        <v>15.833333333333334</v>
      </c>
      <c r="E269" s="18">
        <v>31</v>
      </c>
      <c r="F269" s="18">
        <v>21.875</v>
      </c>
      <c r="G269" s="18">
        <v>22.727272727272727</v>
      </c>
      <c r="H269" s="18">
        <v>91.435606060606062</v>
      </c>
      <c r="I269" s="19">
        <v>95</v>
      </c>
    </row>
    <row r="270" spans="2:9">
      <c r="B270" s="2">
        <v>46137</v>
      </c>
      <c r="C270" s="13" t="s">
        <v>8</v>
      </c>
      <c r="D270" s="20">
        <v>19</v>
      </c>
      <c r="E270" s="20">
        <v>28.615384615384617</v>
      </c>
      <c r="F270" s="20">
        <v>18.75</v>
      </c>
      <c r="G270" s="20">
        <v>22.727272727272727</v>
      </c>
      <c r="H270" s="20">
        <v>89.092657342657333</v>
      </c>
      <c r="I270" s="21">
        <v>95</v>
      </c>
    </row>
    <row r="271" spans="2:9">
      <c r="B271" s="1">
        <v>46137</v>
      </c>
      <c r="C271" s="12" t="s">
        <v>15</v>
      </c>
      <c r="D271" s="18">
        <v>19</v>
      </c>
      <c r="E271" s="18">
        <v>28.615384615384617</v>
      </c>
      <c r="F271" s="18">
        <v>25</v>
      </c>
      <c r="G271" s="18">
        <v>25</v>
      </c>
      <c r="H271" s="18">
        <v>97.615384615384613</v>
      </c>
      <c r="I271" s="19">
        <v>95</v>
      </c>
    </row>
    <row r="272" spans="2:9">
      <c r="B272" s="2">
        <v>46137</v>
      </c>
      <c r="C272" s="13" t="s">
        <v>16</v>
      </c>
      <c r="D272" s="20">
        <v>15.833333333333334</v>
      </c>
      <c r="E272" s="20">
        <v>31</v>
      </c>
      <c r="F272" s="20">
        <v>21.875</v>
      </c>
      <c r="G272" s="20">
        <v>25</v>
      </c>
      <c r="H272" s="20">
        <v>93.708333333333343</v>
      </c>
      <c r="I272" s="21">
        <v>95</v>
      </c>
    </row>
    <row r="273" spans="2:9">
      <c r="B273" s="1">
        <v>46137</v>
      </c>
      <c r="C273" s="12" t="s">
        <v>18</v>
      </c>
      <c r="D273" s="18">
        <v>19</v>
      </c>
      <c r="E273" s="18">
        <v>31</v>
      </c>
      <c r="F273" s="18">
        <v>25</v>
      </c>
      <c r="G273" s="18">
        <v>22.727272727272727</v>
      </c>
      <c r="H273" s="18">
        <v>97.72727272727272</v>
      </c>
      <c r="I273" s="19">
        <v>95</v>
      </c>
    </row>
    <row r="274" spans="2:9">
      <c r="B274" s="2">
        <v>46137</v>
      </c>
      <c r="C274" s="13" t="s">
        <v>19</v>
      </c>
      <c r="D274" s="20">
        <v>19</v>
      </c>
      <c r="E274" s="20">
        <v>28.615384615384617</v>
      </c>
      <c r="F274" s="20">
        <v>25</v>
      </c>
      <c r="G274" s="20">
        <v>25</v>
      </c>
      <c r="H274" s="20">
        <v>97.615384615384613</v>
      </c>
      <c r="I274" s="21">
        <v>95</v>
      </c>
    </row>
    <row r="275" spans="2:9">
      <c r="B275" s="1">
        <v>46137</v>
      </c>
      <c r="C275" s="12" t="s">
        <v>10</v>
      </c>
      <c r="D275" s="18">
        <v>19</v>
      </c>
      <c r="E275" s="18">
        <v>28.615384615384617</v>
      </c>
      <c r="F275" s="18">
        <v>21.875</v>
      </c>
      <c r="G275" s="18">
        <v>22.727272727272727</v>
      </c>
      <c r="H275" s="18">
        <v>92.217657342657333</v>
      </c>
      <c r="I275" s="19">
        <v>95</v>
      </c>
    </row>
    <row r="276" spans="2:9">
      <c r="B276" s="2">
        <v>46137</v>
      </c>
      <c r="C276" s="13" t="s">
        <v>17</v>
      </c>
      <c r="D276" s="20">
        <v>12.666666666666666</v>
      </c>
      <c r="E276" s="20">
        <v>31</v>
      </c>
      <c r="F276" s="20">
        <v>18.75</v>
      </c>
      <c r="G276" s="20">
        <v>18.181818181818183</v>
      </c>
      <c r="H276" s="20">
        <v>80.598484848484844</v>
      </c>
      <c r="I276" s="21">
        <v>95</v>
      </c>
    </row>
    <row r="277" spans="2:9">
      <c r="B277" s="1">
        <v>46144</v>
      </c>
      <c r="C277" s="12" t="s">
        <v>2</v>
      </c>
      <c r="D277" s="18">
        <v>15.833333333333334</v>
      </c>
      <c r="E277" s="18">
        <v>26.23076923076923</v>
      </c>
      <c r="F277" s="18">
        <v>18.75</v>
      </c>
      <c r="G277" s="18">
        <v>25</v>
      </c>
      <c r="H277" s="18">
        <v>85.814102564102569</v>
      </c>
      <c r="I277" s="19">
        <v>95</v>
      </c>
    </row>
    <row r="278" spans="2:9">
      <c r="B278" s="2">
        <v>46144</v>
      </c>
      <c r="C278" s="13" t="s">
        <v>5</v>
      </c>
      <c r="D278" s="20">
        <v>12.666666666666666</v>
      </c>
      <c r="E278" s="20">
        <v>31</v>
      </c>
      <c r="F278" s="20">
        <v>15.625</v>
      </c>
      <c r="G278" s="20">
        <v>25</v>
      </c>
      <c r="H278" s="20">
        <v>84.291666666666657</v>
      </c>
      <c r="I278" s="21">
        <v>95</v>
      </c>
    </row>
    <row r="279" spans="2:9">
      <c r="B279" s="1">
        <v>46144</v>
      </c>
      <c r="C279" s="12" t="s">
        <v>7</v>
      </c>
      <c r="D279" s="18">
        <v>15.833333333333334</v>
      </c>
      <c r="E279" s="18">
        <v>28.615384615384617</v>
      </c>
      <c r="F279" s="18">
        <v>15.625</v>
      </c>
      <c r="G279" s="18">
        <v>20.454545454545457</v>
      </c>
      <c r="H279" s="18">
        <v>80.528263403263409</v>
      </c>
      <c r="I279" s="19">
        <v>95</v>
      </c>
    </row>
    <row r="280" spans="2:9">
      <c r="B280" s="2">
        <v>46144</v>
      </c>
      <c r="C280" s="13" t="s">
        <v>11</v>
      </c>
      <c r="D280" s="20">
        <v>19</v>
      </c>
      <c r="E280" s="20">
        <v>31</v>
      </c>
      <c r="F280" s="20">
        <v>25</v>
      </c>
      <c r="G280" s="20">
        <v>25</v>
      </c>
      <c r="H280" s="20">
        <v>100</v>
      </c>
      <c r="I280" s="21">
        <v>95</v>
      </c>
    </row>
    <row r="281" spans="2:9">
      <c r="B281" s="1">
        <v>46144</v>
      </c>
      <c r="C281" s="12" t="s">
        <v>12</v>
      </c>
      <c r="D281" s="18">
        <v>19</v>
      </c>
      <c r="E281" s="18">
        <v>31</v>
      </c>
      <c r="F281" s="18">
        <v>25</v>
      </c>
      <c r="G281" s="18">
        <v>22.727272727272727</v>
      </c>
      <c r="H281" s="18">
        <v>97.72727272727272</v>
      </c>
      <c r="I281" s="19">
        <v>95</v>
      </c>
    </row>
    <row r="282" spans="2:9">
      <c r="B282" s="2">
        <v>46144</v>
      </c>
      <c r="C282" s="13" t="s">
        <v>9</v>
      </c>
      <c r="D282" s="20">
        <v>19</v>
      </c>
      <c r="E282" s="20">
        <v>31</v>
      </c>
      <c r="F282" s="20">
        <v>25</v>
      </c>
      <c r="G282" s="20">
        <v>25</v>
      </c>
      <c r="H282" s="20">
        <v>100</v>
      </c>
      <c r="I282" s="21">
        <v>95</v>
      </c>
    </row>
    <row r="283" spans="2:9">
      <c r="B283" s="1">
        <v>46144</v>
      </c>
      <c r="C283" s="12" t="s">
        <v>13</v>
      </c>
      <c r="D283" s="18">
        <v>15.833333333333334</v>
      </c>
      <c r="E283" s="18">
        <v>31</v>
      </c>
      <c r="F283" s="18">
        <v>25</v>
      </c>
      <c r="G283" s="18">
        <v>22.727272727272727</v>
      </c>
      <c r="H283" s="18">
        <v>94.560606060606062</v>
      </c>
      <c r="I283" s="19">
        <v>95</v>
      </c>
    </row>
    <row r="284" spans="2:9">
      <c r="B284" s="2">
        <v>46144</v>
      </c>
      <c r="C284" s="13" t="s">
        <v>6</v>
      </c>
      <c r="D284" s="20">
        <v>15.833333333333334</v>
      </c>
      <c r="E284" s="20">
        <v>31</v>
      </c>
      <c r="F284" s="20">
        <v>12.5</v>
      </c>
      <c r="G284" s="20">
        <v>20.454545454545457</v>
      </c>
      <c r="H284" s="20">
        <v>79.787878787878796</v>
      </c>
      <c r="I284" s="21">
        <v>95</v>
      </c>
    </row>
    <row r="285" spans="2:9">
      <c r="B285" s="1">
        <v>46144</v>
      </c>
      <c r="C285" s="12" t="s">
        <v>14</v>
      </c>
      <c r="D285" s="18">
        <v>15.833333333333334</v>
      </c>
      <c r="E285" s="18">
        <v>28.615384615384617</v>
      </c>
      <c r="F285" s="18">
        <v>21.875</v>
      </c>
      <c r="G285" s="18">
        <v>25</v>
      </c>
      <c r="H285" s="18">
        <v>91.323717948717956</v>
      </c>
      <c r="I285" s="19">
        <v>95</v>
      </c>
    </row>
    <row r="286" spans="2:9">
      <c r="B286" s="2">
        <v>46144</v>
      </c>
      <c r="C286" s="13" t="s">
        <v>4</v>
      </c>
      <c r="D286" s="20">
        <v>15.833333333333334</v>
      </c>
      <c r="E286" s="20">
        <v>28.615384615384617</v>
      </c>
      <c r="F286" s="20">
        <v>18.75</v>
      </c>
      <c r="G286" s="20">
        <v>25</v>
      </c>
      <c r="H286" s="20">
        <v>88.198717948717956</v>
      </c>
      <c r="I286" s="21">
        <v>95</v>
      </c>
    </row>
    <row r="287" spans="2:9">
      <c r="B287" s="1">
        <v>46144</v>
      </c>
      <c r="C287" s="12" t="s">
        <v>8</v>
      </c>
      <c r="D287" s="18">
        <v>15.833333333333334</v>
      </c>
      <c r="E287" s="18">
        <v>28.615384615384617</v>
      </c>
      <c r="F287" s="18">
        <v>21.875</v>
      </c>
      <c r="G287" s="18">
        <v>25</v>
      </c>
      <c r="H287" s="18">
        <v>91.323717948717956</v>
      </c>
      <c r="I287" s="19">
        <v>95</v>
      </c>
    </row>
    <row r="288" spans="2:9">
      <c r="B288" s="2">
        <v>46144</v>
      </c>
      <c r="C288" s="13" t="s">
        <v>15</v>
      </c>
      <c r="D288" s="20">
        <v>15.833333333333334</v>
      </c>
      <c r="E288" s="20">
        <v>31</v>
      </c>
      <c r="F288" s="20">
        <v>25</v>
      </c>
      <c r="G288" s="20">
        <v>25</v>
      </c>
      <c r="H288" s="20">
        <v>96.833333333333343</v>
      </c>
      <c r="I288" s="21">
        <v>95</v>
      </c>
    </row>
    <row r="289" spans="2:9">
      <c r="B289" s="1">
        <v>46144</v>
      </c>
      <c r="C289" s="12" t="s">
        <v>16</v>
      </c>
      <c r="D289" s="18">
        <v>15.833333333333334</v>
      </c>
      <c r="E289" s="18">
        <v>23.846153846153847</v>
      </c>
      <c r="F289" s="18">
        <v>25</v>
      </c>
      <c r="G289" s="18">
        <v>25</v>
      </c>
      <c r="H289" s="18">
        <v>89.679487179487182</v>
      </c>
      <c r="I289" s="19">
        <v>95</v>
      </c>
    </row>
    <row r="290" spans="2:9">
      <c r="B290" s="2">
        <v>46144</v>
      </c>
      <c r="C290" s="13" t="s">
        <v>18</v>
      </c>
      <c r="D290" s="20">
        <v>15.833333333333334</v>
      </c>
      <c r="E290" s="20">
        <v>31</v>
      </c>
      <c r="F290" s="20">
        <v>25</v>
      </c>
      <c r="G290" s="20">
        <v>22.727272727272727</v>
      </c>
      <c r="H290" s="20">
        <v>94.560606060606062</v>
      </c>
      <c r="I290" s="21">
        <v>95</v>
      </c>
    </row>
    <row r="291" spans="2:9">
      <c r="B291" s="1">
        <v>46144</v>
      </c>
      <c r="C291" s="12" t="s">
        <v>19</v>
      </c>
      <c r="D291" s="18">
        <v>19</v>
      </c>
      <c r="E291" s="18">
        <v>31</v>
      </c>
      <c r="F291" s="18">
        <v>25</v>
      </c>
      <c r="G291" s="18">
        <v>25</v>
      </c>
      <c r="H291" s="18">
        <v>100</v>
      </c>
      <c r="I291" s="19">
        <v>95</v>
      </c>
    </row>
    <row r="292" spans="2:9">
      <c r="B292" s="2">
        <v>46144</v>
      </c>
      <c r="C292" s="13" t="s">
        <v>10</v>
      </c>
      <c r="D292" s="20">
        <v>19</v>
      </c>
      <c r="E292" s="20">
        <v>28.615384615384617</v>
      </c>
      <c r="F292" s="20">
        <v>25</v>
      </c>
      <c r="G292" s="20">
        <v>25</v>
      </c>
      <c r="H292" s="20">
        <v>97.615384615384613</v>
      </c>
      <c r="I292" s="21">
        <v>95</v>
      </c>
    </row>
    <row r="293" spans="2:9">
      <c r="B293" s="1">
        <v>46144</v>
      </c>
      <c r="C293" s="12" t="s">
        <v>17</v>
      </c>
      <c r="D293" s="18">
        <v>15.833333333333334</v>
      </c>
      <c r="E293" s="18">
        <v>26.23076923076923</v>
      </c>
      <c r="F293" s="18">
        <v>18.75</v>
      </c>
      <c r="G293" s="18">
        <v>22.727272727272727</v>
      </c>
      <c r="H293" s="18">
        <v>83.541375291375289</v>
      </c>
      <c r="I293" s="19">
        <v>95</v>
      </c>
    </row>
    <row r="294" spans="2:9">
      <c r="B294" s="2">
        <v>46151</v>
      </c>
      <c r="C294" s="13" t="s">
        <v>2</v>
      </c>
      <c r="D294" s="20">
        <v>19</v>
      </c>
      <c r="E294" s="20">
        <v>28.615384615384617</v>
      </c>
      <c r="F294" s="20">
        <v>15.625</v>
      </c>
      <c r="G294" s="20">
        <v>25</v>
      </c>
      <c r="H294" s="20">
        <v>88.240384615384613</v>
      </c>
      <c r="I294" s="21">
        <v>95</v>
      </c>
    </row>
    <row r="295" spans="2:9">
      <c r="B295" s="1">
        <v>46151</v>
      </c>
      <c r="C295" s="12" t="s">
        <v>5</v>
      </c>
      <c r="D295" s="18">
        <v>12.666666666666666</v>
      </c>
      <c r="E295" s="18">
        <v>31</v>
      </c>
      <c r="F295" s="18">
        <v>21.875</v>
      </c>
      <c r="G295" s="18">
        <v>22.727272727272727</v>
      </c>
      <c r="H295" s="18">
        <v>88.268939393939377</v>
      </c>
      <c r="I295" s="19">
        <v>95</v>
      </c>
    </row>
    <row r="296" spans="2:9">
      <c r="B296" s="2">
        <v>46151</v>
      </c>
      <c r="C296" s="13" t="s">
        <v>7</v>
      </c>
      <c r="D296" s="20">
        <v>15.833333333333334</v>
      </c>
      <c r="E296" s="20">
        <v>31</v>
      </c>
      <c r="F296" s="20">
        <v>21.875</v>
      </c>
      <c r="G296" s="20">
        <v>20.454545454545457</v>
      </c>
      <c r="H296" s="20">
        <v>89.162878787878796</v>
      </c>
      <c r="I296" s="21">
        <v>95</v>
      </c>
    </row>
    <row r="297" spans="2:9">
      <c r="B297" s="1">
        <v>46151</v>
      </c>
      <c r="C297" s="12" t="s">
        <v>11</v>
      </c>
      <c r="D297" s="18">
        <v>15.833333333333334</v>
      </c>
      <c r="E297" s="18">
        <v>28.615384615384617</v>
      </c>
      <c r="F297" s="18">
        <v>25</v>
      </c>
      <c r="G297" s="18">
        <v>25</v>
      </c>
      <c r="H297" s="18">
        <v>94.448717948717956</v>
      </c>
      <c r="I297" s="19">
        <v>95</v>
      </c>
    </row>
    <row r="298" spans="2:9">
      <c r="B298" s="2">
        <v>46151</v>
      </c>
      <c r="C298" s="13" t="s">
        <v>12</v>
      </c>
      <c r="D298" s="20">
        <v>19</v>
      </c>
      <c r="E298" s="20">
        <v>28.615384615384617</v>
      </c>
      <c r="F298" s="20">
        <v>21.875</v>
      </c>
      <c r="G298" s="20">
        <v>25</v>
      </c>
      <c r="H298" s="20">
        <v>94.490384615384613</v>
      </c>
      <c r="I298" s="21">
        <v>95</v>
      </c>
    </row>
    <row r="299" spans="2:9">
      <c r="B299" s="1">
        <v>46151</v>
      </c>
      <c r="C299" s="12" t="s">
        <v>9</v>
      </c>
      <c r="D299" s="18">
        <v>19</v>
      </c>
      <c r="E299" s="18">
        <v>31</v>
      </c>
      <c r="F299" s="18">
        <v>21.875</v>
      </c>
      <c r="G299" s="18">
        <v>25</v>
      </c>
      <c r="H299" s="18">
        <v>96.875</v>
      </c>
      <c r="I299" s="19">
        <v>95</v>
      </c>
    </row>
    <row r="300" spans="2:9">
      <c r="B300" s="2">
        <v>46151</v>
      </c>
      <c r="C300" s="13" t="s">
        <v>13</v>
      </c>
      <c r="D300" s="20">
        <v>15.833333333333334</v>
      </c>
      <c r="E300" s="20">
        <v>28.615384615384617</v>
      </c>
      <c r="F300" s="20">
        <v>25</v>
      </c>
      <c r="G300" s="20">
        <v>22.727272727272727</v>
      </c>
      <c r="H300" s="20">
        <v>92.175990675990676</v>
      </c>
      <c r="I300" s="21">
        <v>95</v>
      </c>
    </row>
    <row r="301" spans="2:9">
      <c r="B301" s="1">
        <v>46151</v>
      </c>
      <c r="C301" s="12" t="s">
        <v>6</v>
      </c>
      <c r="D301" s="18">
        <v>12.666666666666666</v>
      </c>
      <c r="E301" s="18">
        <v>28.615384615384617</v>
      </c>
      <c r="F301" s="18">
        <v>18.75</v>
      </c>
      <c r="G301" s="18">
        <v>22.727272727272727</v>
      </c>
      <c r="H301" s="18">
        <v>82.759324009324018</v>
      </c>
      <c r="I301" s="19">
        <v>95</v>
      </c>
    </row>
    <row r="302" spans="2:9">
      <c r="B302" s="2">
        <v>46151</v>
      </c>
      <c r="C302" s="13" t="s">
        <v>14</v>
      </c>
      <c r="D302" s="20">
        <v>19</v>
      </c>
      <c r="E302" s="20">
        <v>28.615384615384617</v>
      </c>
      <c r="F302" s="20">
        <v>25</v>
      </c>
      <c r="G302" s="20">
        <v>20.454545454545457</v>
      </c>
      <c r="H302" s="20">
        <v>93.069930069930066</v>
      </c>
      <c r="I302" s="21">
        <v>95</v>
      </c>
    </row>
    <row r="303" spans="2:9">
      <c r="B303" s="1">
        <v>46151</v>
      </c>
      <c r="C303" s="12" t="s">
        <v>4</v>
      </c>
      <c r="D303" s="18">
        <v>12.666666666666666</v>
      </c>
      <c r="E303" s="18">
        <v>28.615384615384617</v>
      </c>
      <c r="F303" s="18">
        <v>25</v>
      </c>
      <c r="G303" s="18">
        <v>25</v>
      </c>
      <c r="H303" s="18">
        <v>91.282051282051285</v>
      </c>
      <c r="I303" s="19">
        <v>95</v>
      </c>
    </row>
    <row r="304" spans="2:9">
      <c r="B304" s="2">
        <v>46151</v>
      </c>
      <c r="C304" s="13" t="s">
        <v>8</v>
      </c>
      <c r="D304" s="20">
        <v>15.833333333333334</v>
      </c>
      <c r="E304" s="20">
        <v>28.615384615384617</v>
      </c>
      <c r="F304" s="20">
        <v>25</v>
      </c>
      <c r="G304" s="20">
        <v>25</v>
      </c>
      <c r="H304" s="20">
        <v>94.448717948717956</v>
      </c>
      <c r="I304" s="21">
        <v>95</v>
      </c>
    </row>
    <row r="305" spans="2:9">
      <c r="B305" s="1">
        <v>46151</v>
      </c>
      <c r="C305" s="12" t="s">
        <v>15</v>
      </c>
      <c r="D305" s="18">
        <v>19</v>
      </c>
      <c r="E305" s="18">
        <v>28.615384615384617</v>
      </c>
      <c r="F305" s="18">
        <v>25</v>
      </c>
      <c r="G305" s="18">
        <v>25</v>
      </c>
      <c r="H305" s="18">
        <v>97.615384615384613</v>
      </c>
      <c r="I305" s="19">
        <v>95</v>
      </c>
    </row>
    <row r="306" spans="2:9">
      <c r="B306" s="2">
        <v>46151</v>
      </c>
      <c r="C306" s="13" t="s">
        <v>16</v>
      </c>
      <c r="D306" s="20">
        <v>19</v>
      </c>
      <c r="E306" s="20">
        <v>28.615384615384617</v>
      </c>
      <c r="F306" s="20">
        <v>25</v>
      </c>
      <c r="G306" s="20">
        <v>25</v>
      </c>
      <c r="H306" s="20">
        <v>97.615384615384613</v>
      </c>
      <c r="I306" s="21">
        <v>95</v>
      </c>
    </row>
    <row r="307" spans="2:9">
      <c r="B307" s="1">
        <v>46151</v>
      </c>
      <c r="C307" s="12" t="s">
        <v>18</v>
      </c>
      <c r="D307" s="18">
        <v>15.833333333333334</v>
      </c>
      <c r="E307" s="18">
        <v>31</v>
      </c>
      <c r="F307" s="18">
        <v>25</v>
      </c>
      <c r="G307" s="18">
        <v>22.727272727272727</v>
      </c>
      <c r="H307" s="18">
        <v>94.560606060606062</v>
      </c>
      <c r="I307" s="19">
        <v>95</v>
      </c>
    </row>
    <row r="308" spans="2:9">
      <c r="B308" s="2">
        <v>46151</v>
      </c>
      <c r="C308" s="13" t="s">
        <v>19</v>
      </c>
      <c r="D308" s="20">
        <v>19</v>
      </c>
      <c r="E308" s="20">
        <v>31</v>
      </c>
      <c r="F308" s="20">
        <v>25</v>
      </c>
      <c r="G308" s="20">
        <v>25</v>
      </c>
      <c r="H308" s="20">
        <v>100</v>
      </c>
      <c r="I308" s="21">
        <v>95</v>
      </c>
    </row>
    <row r="309" spans="2:9">
      <c r="B309" s="1">
        <v>46151</v>
      </c>
      <c r="C309" s="12" t="s">
        <v>10</v>
      </c>
      <c r="D309" s="18">
        <v>19</v>
      </c>
      <c r="E309" s="18">
        <v>31</v>
      </c>
      <c r="F309" s="18">
        <v>25</v>
      </c>
      <c r="G309" s="18">
        <v>20.454545454545457</v>
      </c>
      <c r="H309" s="18">
        <v>95.454545454545453</v>
      </c>
      <c r="I309" s="19">
        <v>95</v>
      </c>
    </row>
    <row r="310" spans="2:9">
      <c r="B310" s="2">
        <v>46151</v>
      </c>
      <c r="C310" s="13" t="s">
        <v>17</v>
      </c>
      <c r="D310" s="20">
        <v>15.833333333333334</v>
      </c>
      <c r="E310" s="20">
        <v>28.615384615384617</v>
      </c>
      <c r="F310" s="20">
        <v>18.75</v>
      </c>
      <c r="G310" s="20">
        <v>20.454545454545457</v>
      </c>
      <c r="H310" s="20">
        <v>83.653263403263409</v>
      </c>
      <c r="I310" s="21">
        <v>95</v>
      </c>
    </row>
    <row r="311" spans="2:9">
      <c r="B311" s="1">
        <v>46158</v>
      </c>
      <c r="C311" s="12" t="s">
        <v>2</v>
      </c>
      <c r="D311" s="18">
        <v>15.833333333333334</v>
      </c>
      <c r="E311" s="18">
        <v>31</v>
      </c>
      <c r="F311" s="18">
        <v>18.75</v>
      </c>
      <c r="G311" s="18">
        <v>25</v>
      </c>
      <c r="H311" s="18">
        <v>90.583333333333343</v>
      </c>
      <c r="I311" s="19">
        <v>95</v>
      </c>
    </row>
    <row r="312" spans="2:9">
      <c r="B312" s="2">
        <v>46158</v>
      </c>
      <c r="C312" s="13" t="s">
        <v>5</v>
      </c>
      <c r="D312" s="20">
        <v>15.833333333333334</v>
      </c>
      <c r="E312" s="20">
        <v>31</v>
      </c>
      <c r="F312" s="20">
        <v>25</v>
      </c>
      <c r="G312" s="20">
        <v>22.727272727272727</v>
      </c>
      <c r="H312" s="20">
        <v>94.560606060606062</v>
      </c>
      <c r="I312" s="21">
        <v>95</v>
      </c>
    </row>
    <row r="313" spans="2:9">
      <c r="B313" s="1">
        <v>46158</v>
      </c>
      <c r="C313" s="12" t="s">
        <v>7</v>
      </c>
      <c r="D313" s="18">
        <v>12.666666666666666</v>
      </c>
      <c r="E313" s="18">
        <v>28.615384615384617</v>
      </c>
      <c r="F313" s="18">
        <v>21.875</v>
      </c>
      <c r="G313" s="18">
        <v>20.454545454545457</v>
      </c>
      <c r="H313" s="18">
        <v>83.611596736596738</v>
      </c>
      <c r="I313" s="19">
        <v>95</v>
      </c>
    </row>
    <row r="314" spans="2:9">
      <c r="B314" s="2">
        <v>46158</v>
      </c>
      <c r="C314" s="13" t="s">
        <v>11</v>
      </c>
      <c r="D314" s="20">
        <v>15.833333333333334</v>
      </c>
      <c r="E314" s="20">
        <v>31</v>
      </c>
      <c r="F314" s="20">
        <v>25</v>
      </c>
      <c r="G314" s="20">
        <v>22.727272727272727</v>
      </c>
      <c r="H314" s="20">
        <v>94.560606060606062</v>
      </c>
      <c r="I314" s="21">
        <v>95</v>
      </c>
    </row>
    <row r="315" spans="2:9">
      <c r="B315" s="1">
        <v>46158</v>
      </c>
      <c r="C315" s="12" t="s">
        <v>12</v>
      </c>
      <c r="D315" s="18">
        <v>19</v>
      </c>
      <c r="E315" s="18">
        <v>31</v>
      </c>
      <c r="F315" s="18">
        <v>25</v>
      </c>
      <c r="G315" s="18">
        <v>25</v>
      </c>
      <c r="H315" s="18">
        <v>100</v>
      </c>
      <c r="I315" s="19">
        <v>95</v>
      </c>
    </row>
    <row r="316" spans="2:9">
      <c r="B316" s="2">
        <v>46158</v>
      </c>
      <c r="C316" s="13" t="s">
        <v>13</v>
      </c>
      <c r="D316" s="20">
        <v>15.833333333333334</v>
      </c>
      <c r="E316" s="20">
        <v>31</v>
      </c>
      <c r="F316" s="20">
        <v>21.875</v>
      </c>
      <c r="G316" s="20">
        <v>22.727272727272727</v>
      </c>
      <c r="H316" s="20">
        <v>91.435606060606062</v>
      </c>
      <c r="I316" s="21">
        <v>95</v>
      </c>
    </row>
    <row r="317" spans="2:9">
      <c r="B317" s="1">
        <v>46158</v>
      </c>
      <c r="C317" s="12" t="s">
        <v>6</v>
      </c>
      <c r="D317" s="18">
        <v>12.666666666666666</v>
      </c>
      <c r="E317" s="18">
        <v>26.23076923076923</v>
      </c>
      <c r="F317" s="18">
        <v>18.75</v>
      </c>
      <c r="G317" s="18">
        <v>25</v>
      </c>
      <c r="H317" s="18">
        <v>82.647435897435898</v>
      </c>
      <c r="I317" s="19">
        <v>95</v>
      </c>
    </row>
    <row r="318" spans="2:9">
      <c r="B318" s="2">
        <v>46158</v>
      </c>
      <c r="C318" s="13" t="s">
        <v>14</v>
      </c>
      <c r="D318" s="20">
        <v>19</v>
      </c>
      <c r="E318" s="20">
        <v>28.615384615384617</v>
      </c>
      <c r="F318" s="20">
        <v>18.75</v>
      </c>
      <c r="G318" s="20">
        <v>22.727272727272727</v>
      </c>
      <c r="H318" s="20">
        <v>89.092657342657333</v>
      </c>
      <c r="I318" s="21">
        <v>95</v>
      </c>
    </row>
    <row r="319" spans="2:9">
      <c r="B319" s="1">
        <v>46158</v>
      </c>
      <c r="C319" s="12" t="s">
        <v>4</v>
      </c>
      <c r="D319" s="18">
        <v>12.666666666666666</v>
      </c>
      <c r="E319" s="18">
        <v>31</v>
      </c>
      <c r="F319" s="18">
        <v>18.75</v>
      </c>
      <c r="G319" s="18">
        <v>22.727272727272727</v>
      </c>
      <c r="H319" s="18">
        <v>85.143939393939391</v>
      </c>
      <c r="I319" s="19">
        <v>95</v>
      </c>
    </row>
    <row r="320" spans="2:9">
      <c r="B320" s="2">
        <v>46158</v>
      </c>
      <c r="C320" s="13" t="s">
        <v>8</v>
      </c>
      <c r="D320" s="20">
        <v>19</v>
      </c>
      <c r="E320" s="20">
        <v>28.615384615384617</v>
      </c>
      <c r="F320" s="20">
        <v>21.875</v>
      </c>
      <c r="G320" s="20">
        <v>20.454545454545457</v>
      </c>
      <c r="H320" s="20">
        <v>89.944930069930066</v>
      </c>
      <c r="I320" s="21">
        <v>95</v>
      </c>
    </row>
    <row r="321" spans="2:9">
      <c r="B321" s="1">
        <v>46158</v>
      </c>
      <c r="C321" s="12" t="s">
        <v>15</v>
      </c>
      <c r="D321" s="18">
        <v>19</v>
      </c>
      <c r="E321" s="18">
        <v>31</v>
      </c>
      <c r="F321" s="18">
        <v>25</v>
      </c>
      <c r="G321" s="18">
        <v>25</v>
      </c>
      <c r="H321" s="18">
        <v>100</v>
      </c>
      <c r="I321" s="19">
        <v>95</v>
      </c>
    </row>
    <row r="322" spans="2:9">
      <c r="B322" s="2">
        <v>46158</v>
      </c>
      <c r="C322" s="13" t="s">
        <v>16</v>
      </c>
      <c r="D322" s="20">
        <v>19</v>
      </c>
      <c r="E322" s="20">
        <v>31</v>
      </c>
      <c r="F322" s="20">
        <v>25</v>
      </c>
      <c r="G322" s="20">
        <v>22.727272727272727</v>
      </c>
      <c r="H322" s="20">
        <v>97.72727272727272</v>
      </c>
      <c r="I322" s="21">
        <v>95</v>
      </c>
    </row>
    <row r="323" spans="2:9">
      <c r="B323" s="1">
        <v>46158</v>
      </c>
      <c r="C323" s="12" t="s">
        <v>18</v>
      </c>
      <c r="D323" s="18">
        <v>19</v>
      </c>
      <c r="E323" s="18">
        <v>31</v>
      </c>
      <c r="F323" s="18">
        <v>25</v>
      </c>
      <c r="G323" s="18">
        <v>22.727272727272727</v>
      </c>
      <c r="H323" s="18">
        <v>97.72727272727272</v>
      </c>
      <c r="I323" s="19">
        <v>95</v>
      </c>
    </row>
    <row r="324" spans="2:9">
      <c r="B324" s="2">
        <v>46158</v>
      </c>
      <c r="C324" s="13" t="s">
        <v>19</v>
      </c>
      <c r="D324" s="20">
        <v>19</v>
      </c>
      <c r="E324" s="20">
        <v>28.615384615384617</v>
      </c>
      <c r="F324" s="20">
        <v>25</v>
      </c>
      <c r="G324" s="20">
        <v>25</v>
      </c>
      <c r="H324" s="20">
        <v>97.615384615384613</v>
      </c>
      <c r="I324" s="21">
        <v>95</v>
      </c>
    </row>
    <row r="325" spans="2:9">
      <c r="B325" s="1">
        <v>46158</v>
      </c>
      <c r="C325" s="12" t="s">
        <v>10</v>
      </c>
      <c r="D325" s="18">
        <v>19</v>
      </c>
      <c r="E325" s="18">
        <v>31</v>
      </c>
      <c r="F325" s="18">
        <v>25</v>
      </c>
      <c r="G325" s="18">
        <v>25</v>
      </c>
      <c r="H325" s="18">
        <v>100</v>
      </c>
      <c r="I325" s="19">
        <v>95</v>
      </c>
    </row>
    <row r="326" spans="2:9">
      <c r="B326" s="2">
        <v>46158</v>
      </c>
      <c r="C326" s="13" t="s">
        <v>17</v>
      </c>
      <c r="D326" s="20">
        <v>12.666666666666666</v>
      </c>
      <c r="E326" s="20">
        <v>26.23076923076923</v>
      </c>
      <c r="F326" s="20">
        <v>21.875</v>
      </c>
      <c r="G326" s="20">
        <v>22.727272727272727</v>
      </c>
      <c r="H326" s="20">
        <v>83.499708624708632</v>
      </c>
      <c r="I326" s="21">
        <v>95</v>
      </c>
    </row>
    <row r="327" spans="2:9">
      <c r="B327" s="1">
        <v>46165</v>
      </c>
      <c r="C327" s="12" t="s">
        <v>2</v>
      </c>
      <c r="D327" s="18">
        <v>19</v>
      </c>
      <c r="E327" s="18">
        <v>28.615384615384617</v>
      </c>
      <c r="F327" s="18">
        <v>21.875</v>
      </c>
      <c r="G327" s="18">
        <v>22.727272727272727</v>
      </c>
      <c r="H327" s="18">
        <v>92.217657342657333</v>
      </c>
      <c r="I327" s="19">
        <v>95</v>
      </c>
    </row>
    <row r="328" spans="2:9">
      <c r="B328" s="2">
        <v>46165</v>
      </c>
      <c r="C328" s="13" t="s">
        <v>5</v>
      </c>
      <c r="D328" s="20">
        <v>19</v>
      </c>
      <c r="E328" s="20">
        <v>31</v>
      </c>
      <c r="F328" s="20">
        <v>21.875</v>
      </c>
      <c r="G328" s="20">
        <v>18.181818181818183</v>
      </c>
      <c r="H328" s="20">
        <v>90.056818181818187</v>
      </c>
      <c r="I328" s="21">
        <v>95</v>
      </c>
    </row>
    <row r="329" spans="2:9">
      <c r="B329" s="1">
        <v>46165</v>
      </c>
      <c r="C329" s="12" t="s">
        <v>7</v>
      </c>
      <c r="D329" s="18">
        <v>15.833333333333334</v>
      </c>
      <c r="E329" s="18">
        <v>31</v>
      </c>
      <c r="F329" s="18">
        <v>21.875</v>
      </c>
      <c r="G329" s="18">
        <v>20.454545454545457</v>
      </c>
      <c r="H329" s="18">
        <v>89.162878787878796</v>
      </c>
      <c r="I329" s="19">
        <v>95</v>
      </c>
    </row>
    <row r="330" spans="2:9">
      <c r="B330" s="2">
        <v>46165</v>
      </c>
      <c r="C330" s="13" t="s">
        <v>11</v>
      </c>
      <c r="D330" s="20">
        <v>15.833333333333334</v>
      </c>
      <c r="E330" s="20">
        <v>28.615384615384617</v>
      </c>
      <c r="F330" s="20">
        <v>25</v>
      </c>
      <c r="G330" s="20">
        <v>25</v>
      </c>
      <c r="H330" s="20">
        <v>94.448717948717956</v>
      </c>
      <c r="I330" s="21">
        <v>95</v>
      </c>
    </row>
    <row r="331" spans="2:9">
      <c r="B331" s="1">
        <v>46165</v>
      </c>
      <c r="C331" s="12" t="s">
        <v>12</v>
      </c>
      <c r="D331" s="18">
        <v>19</v>
      </c>
      <c r="E331" s="18">
        <v>28.615384615384617</v>
      </c>
      <c r="F331" s="18">
        <v>25</v>
      </c>
      <c r="G331" s="18">
        <v>25</v>
      </c>
      <c r="H331" s="18">
        <v>97.615384615384613</v>
      </c>
      <c r="I331" s="19">
        <v>95</v>
      </c>
    </row>
    <row r="332" spans="2:9">
      <c r="B332" s="2">
        <v>46165</v>
      </c>
      <c r="C332" s="13" t="s">
        <v>13</v>
      </c>
      <c r="D332" s="20">
        <v>19</v>
      </c>
      <c r="E332" s="20">
        <v>31</v>
      </c>
      <c r="F332" s="20">
        <v>25</v>
      </c>
      <c r="G332" s="20">
        <v>25</v>
      </c>
      <c r="H332" s="20">
        <v>100</v>
      </c>
      <c r="I332" s="21">
        <v>95</v>
      </c>
    </row>
    <row r="333" spans="2:9">
      <c r="B333" s="1">
        <v>46165</v>
      </c>
      <c r="C333" s="12" t="s">
        <v>6</v>
      </c>
      <c r="D333" s="18">
        <v>12.666666666666666</v>
      </c>
      <c r="E333" s="18">
        <v>26.23076923076923</v>
      </c>
      <c r="F333" s="18">
        <v>25</v>
      </c>
      <c r="G333" s="18">
        <v>22.727272727272727</v>
      </c>
      <c r="H333" s="18">
        <v>86.624708624708632</v>
      </c>
      <c r="I333" s="19">
        <v>95</v>
      </c>
    </row>
    <row r="334" spans="2:9">
      <c r="B334" s="2">
        <v>46165</v>
      </c>
      <c r="C334" s="13" t="s">
        <v>14</v>
      </c>
      <c r="D334" s="20">
        <v>19</v>
      </c>
      <c r="E334" s="20">
        <v>28.615384615384617</v>
      </c>
      <c r="F334" s="20">
        <v>21.875</v>
      </c>
      <c r="G334" s="20">
        <v>25</v>
      </c>
      <c r="H334" s="20">
        <v>94.490384615384613</v>
      </c>
      <c r="I334" s="21">
        <v>95</v>
      </c>
    </row>
    <row r="335" spans="2:9">
      <c r="B335" s="1">
        <v>46165</v>
      </c>
      <c r="C335" s="12" t="s">
        <v>4</v>
      </c>
      <c r="D335" s="18">
        <v>12.666666666666666</v>
      </c>
      <c r="E335" s="18">
        <v>23.846153846153847</v>
      </c>
      <c r="F335" s="18">
        <v>21.875</v>
      </c>
      <c r="G335" s="18">
        <v>22.727272727272727</v>
      </c>
      <c r="H335" s="18">
        <v>81.115093240093245</v>
      </c>
      <c r="I335" s="19">
        <v>95</v>
      </c>
    </row>
    <row r="336" spans="2:9">
      <c r="B336" s="2">
        <v>46165</v>
      </c>
      <c r="C336" s="13" t="s">
        <v>8</v>
      </c>
      <c r="D336" s="20">
        <v>15.833333333333334</v>
      </c>
      <c r="E336" s="20">
        <v>26.23076923076923</v>
      </c>
      <c r="F336" s="20">
        <v>25</v>
      </c>
      <c r="G336" s="20">
        <v>25</v>
      </c>
      <c r="H336" s="20">
        <v>92.064102564102569</v>
      </c>
      <c r="I336" s="21">
        <v>95</v>
      </c>
    </row>
    <row r="337" spans="2:9">
      <c r="B337" s="1">
        <v>46165</v>
      </c>
      <c r="C337" s="12" t="s">
        <v>15</v>
      </c>
      <c r="D337" s="18">
        <v>19</v>
      </c>
      <c r="E337" s="18">
        <v>31</v>
      </c>
      <c r="F337" s="18">
        <v>25</v>
      </c>
      <c r="G337" s="18">
        <v>25</v>
      </c>
      <c r="H337" s="18">
        <v>100</v>
      </c>
      <c r="I337" s="19">
        <v>95</v>
      </c>
    </row>
    <row r="338" spans="2:9">
      <c r="B338" s="2">
        <v>46165</v>
      </c>
      <c r="C338" s="13" t="s">
        <v>16</v>
      </c>
      <c r="D338" s="20">
        <v>15.833333333333334</v>
      </c>
      <c r="E338" s="20">
        <v>31</v>
      </c>
      <c r="F338" s="20">
        <v>21.875</v>
      </c>
      <c r="G338" s="20">
        <v>25</v>
      </c>
      <c r="H338" s="20">
        <v>93.708333333333343</v>
      </c>
      <c r="I338" s="21">
        <v>95</v>
      </c>
    </row>
    <row r="339" spans="2:9">
      <c r="B339" s="1">
        <v>46165</v>
      </c>
      <c r="C339" s="12" t="s">
        <v>18</v>
      </c>
      <c r="D339" s="18">
        <v>19</v>
      </c>
      <c r="E339" s="18">
        <v>31</v>
      </c>
      <c r="F339" s="18">
        <v>25</v>
      </c>
      <c r="G339" s="18">
        <v>25</v>
      </c>
      <c r="H339" s="18">
        <v>100</v>
      </c>
      <c r="I339" s="19">
        <v>95</v>
      </c>
    </row>
    <row r="340" spans="2:9">
      <c r="B340" s="2">
        <v>46165</v>
      </c>
      <c r="C340" s="13" t="s">
        <v>19</v>
      </c>
      <c r="D340" s="20">
        <v>19</v>
      </c>
      <c r="E340" s="20">
        <v>31</v>
      </c>
      <c r="F340" s="20">
        <v>25</v>
      </c>
      <c r="G340" s="20">
        <v>25</v>
      </c>
      <c r="H340" s="20">
        <v>100</v>
      </c>
      <c r="I340" s="21">
        <v>95</v>
      </c>
    </row>
    <row r="341" spans="2:9">
      <c r="B341" s="1">
        <v>46165</v>
      </c>
      <c r="C341" s="12" t="s">
        <v>10</v>
      </c>
      <c r="D341" s="18">
        <v>19</v>
      </c>
      <c r="E341" s="18">
        <v>31</v>
      </c>
      <c r="F341" s="18">
        <v>25</v>
      </c>
      <c r="G341" s="18">
        <v>22.727272727272727</v>
      </c>
      <c r="H341" s="18">
        <v>97.72727272727272</v>
      </c>
      <c r="I341" s="19">
        <v>95</v>
      </c>
    </row>
    <row r="342" spans="2:9">
      <c r="B342" s="2">
        <v>46165</v>
      </c>
      <c r="C342" s="13" t="s">
        <v>17</v>
      </c>
      <c r="D342" s="20">
        <v>12.666666666666666</v>
      </c>
      <c r="E342" s="20">
        <v>28.615384615384617</v>
      </c>
      <c r="F342" s="20">
        <v>21.875</v>
      </c>
      <c r="G342" s="20">
        <v>20.454545454545457</v>
      </c>
      <c r="H342" s="20">
        <v>83.611596736596738</v>
      </c>
      <c r="I342" s="21">
        <v>95</v>
      </c>
    </row>
    <row r="343" spans="2:9">
      <c r="B343" s="1">
        <v>46172</v>
      </c>
      <c r="C343" s="12" t="s">
        <v>2</v>
      </c>
      <c r="D343" s="18">
        <v>19</v>
      </c>
      <c r="E343" s="18">
        <v>31</v>
      </c>
      <c r="F343" s="18">
        <v>18.75</v>
      </c>
      <c r="G343" s="18">
        <v>25</v>
      </c>
      <c r="H343" s="18">
        <v>93.75</v>
      </c>
      <c r="I343" s="19">
        <v>95</v>
      </c>
    </row>
    <row r="344" spans="2:9">
      <c r="B344" s="2">
        <v>46172</v>
      </c>
      <c r="C344" s="13" t="s">
        <v>5</v>
      </c>
      <c r="D344" s="20">
        <v>15.833333333333334</v>
      </c>
      <c r="E344" s="20">
        <v>31</v>
      </c>
      <c r="F344" s="20">
        <v>25</v>
      </c>
      <c r="G344" s="20">
        <v>18.181818181818183</v>
      </c>
      <c r="H344" s="20">
        <v>90.01515151515153</v>
      </c>
      <c r="I344" s="21">
        <v>95</v>
      </c>
    </row>
    <row r="345" spans="2:9">
      <c r="B345" s="1">
        <v>46172</v>
      </c>
      <c r="C345" s="12" t="s">
        <v>7</v>
      </c>
      <c r="D345" s="18">
        <v>15.833333333333334</v>
      </c>
      <c r="E345" s="18">
        <v>26.23076923076923</v>
      </c>
      <c r="F345" s="18">
        <v>21.875</v>
      </c>
      <c r="G345" s="18">
        <v>25</v>
      </c>
      <c r="H345" s="18">
        <v>88.939102564102569</v>
      </c>
      <c r="I345" s="19">
        <v>95</v>
      </c>
    </row>
    <row r="346" spans="2:9">
      <c r="B346" s="2">
        <v>46172</v>
      </c>
      <c r="C346" s="13" t="s">
        <v>11</v>
      </c>
      <c r="D346" s="20">
        <v>15.833333333333334</v>
      </c>
      <c r="E346" s="20">
        <v>31</v>
      </c>
      <c r="F346" s="20">
        <v>25</v>
      </c>
      <c r="G346" s="20">
        <v>25</v>
      </c>
      <c r="H346" s="20">
        <v>96.833333333333343</v>
      </c>
      <c r="I346" s="21">
        <v>95</v>
      </c>
    </row>
    <row r="347" spans="2:9">
      <c r="B347" s="1">
        <v>46172</v>
      </c>
      <c r="C347" s="12" t="s">
        <v>12</v>
      </c>
      <c r="D347" s="18">
        <v>15.833333333333334</v>
      </c>
      <c r="E347" s="18">
        <v>26.23076923076923</v>
      </c>
      <c r="F347" s="18">
        <v>25</v>
      </c>
      <c r="G347" s="18">
        <v>22.727272727272727</v>
      </c>
      <c r="H347" s="18">
        <v>89.791375291375289</v>
      </c>
      <c r="I347" s="19">
        <v>95</v>
      </c>
    </row>
    <row r="348" spans="2:9">
      <c r="B348" s="2">
        <v>46172</v>
      </c>
      <c r="C348" s="13" t="s">
        <v>13</v>
      </c>
      <c r="D348" s="20">
        <v>19</v>
      </c>
      <c r="E348" s="20">
        <v>28.615384615384617</v>
      </c>
      <c r="F348" s="20">
        <v>25</v>
      </c>
      <c r="G348" s="20">
        <v>22.727272727272727</v>
      </c>
      <c r="H348" s="20">
        <v>95.342657342657333</v>
      </c>
      <c r="I348" s="21">
        <v>95</v>
      </c>
    </row>
    <row r="349" spans="2:9">
      <c r="B349" s="1">
        <v>46172</v>
      </c>
      <c r="C349" s="12" t="s">
        <v>6</v>
      </c>
      <c r="D349" s="18">
        <v>15.833333333333334</v>
      </c>
      <c r="E349" s="18">
        <v>28.615384615384617</v>
      </c>
      <c r="F349" s="18">
        <v>21.875</v>
      </c>
      <c r="G349" s="18">
        <v>22.727272727272727</v>
      </c>
      <c r="H349" s="18">
        <v>89.050990675990676</v>
      </c>
      <c r="I349" s="19">
        <v>95</v>
      </c>
    </row>
    <row r="350" spans="2:9">
      <c r="B350" s="2">
        <v>46172</v>
      </c>
      <c r="C350" s="13" t="s">
        <v>14</v>
      </c>
      <c r="D350" s="20">
        <v>15.833333333333334</v>
      </c>
      <c r="E350" s="20">
        <v>28.615384615384617</v>
      </c>
      <c r="F350" s="20">
        <v>18.75</v>
      </c>
      <c r="G350" s="20">
        <v>25</v>
      </c>
      <c r="H350" s="20">
        <v>88.198717948717956</v>
      </c>
      <c r="I350" s="21">
        <v>95</v>
      </c>
    </row>
    <row r="351" spans="2:9">
      <c r="B351" s="1">
        <v>46172</v>
      </c>
      <c r="C351" s="12" t="s">
        <v>4</v>
      </c>
      <c r="D351" s="18">
        <v>12.666666666666666</v>
      </c>
      <c r="E351" s="18">
        <v>26.23076923076923</v>
      </c>
      <c r="F351" s="18">
        <v>18.75</v>
      </c>
      <c r="G351" s="18">
        <v>22.727272727272727</v>
      </c>
      <c r="H351" s="18">
        <v>80.374708624708632</v>
      </c>
      <c r="I351" s="19">
        <v>95</v>
      </c>
    </row>
    <row r="352" spans="2:9">
      <c r="B352" s="2">
        <v>46172</v>
      </c>
      <c r="C352" s="13" t="s">
        <v>8</v>
      </c>
      <c r="D352" s="20">
        <v>12.666666666666666</v>
      </c>
      <c r="E352" s="20">
        <v>28.615384615384617</v>
      </c>
      <c r="F352" s="20">
        <v>18.75</v>
      </c>
      <c r="G352" s="20">
        <v>25</v>
      </c>
      <c r="H352" s="20">
        <v>85.032051282051285</v>
      </c>
      <c r="I352" s="21">
        <v>95</v>
      </c>
    </row>
    <row r="353" spans="2:9">
      <c r="B353" s="1">
        <v>46172</v>
      </c>
      <c r="C353" s="12" t="s">
        <v>15</v>
      </c>
      <c r="D353" s="18">
        <v>19</v>
      </c>
      <c r="E353" s="18">
        <v>31</v>
      </c>
      <c r="F353" s="18">
        <v>25</v>
      </c>
      <c r="G353" s="18">
        <v>25</v>
      </c>
      <c r="H353" s="18">
        <v>100</v>
      </c>
      <c r="I353" s="19">
        <v>95</v>
      </c>
    </row>
    <row r="354" spans="2:9">
      <c r="B354" s="2">
        <v>46172</v>
      </c>
      <c r="C354" s="13" t="s">
        <v>16</v>
      </c>
      <c r="D354" s="20">
        <v>19</v>
      </c>
      <c r="E354" s="20">
        <v>31</v>
      </c>
      <c r="F354" s="20">
        <v>25</v>
      </c>
      <c r="G354" s="20">
        <v>25</v>
      </c>
      <c r="H354" s="20">
        <v>100</v>
      </c>
      <c r="I354" s="21">
        <v>95</v>
      </c>
    </row>
    <row r="355" spans="2:9">
      <c r="B355" s="1">
        <v>46172</v>
      </c>
      <c r="C355" s="12" t="s">
        <v>18</v>
      </c>
      <c r="D355" s="18">
        <v>19</v>
      </c>
      <c r="E355" s="18">
        <v>31</v>
      </c>
      <c r="F355" s="18">
        <v>25</v>
      </c>
      <c r="G355" s="18">
        <v>22.727272727272727</v>
      </c>
      <c r="H355" s="18">
        <v>97.72727272727272</v>
      </c>
      <c r="I355" s="19">
        <v>95</v>
      </c>
    </row>
    <row r="356" spans="2:9">
      <c r="B356" s="2">
        <v>46172</v>
      </c>
      <c r="C356" s="13" t="s">
        <v>19</v>
      </c>
      <c r="D356" s="20">
        <v>19</v>
      </c>
      <c r="E356" s="20">
        <v>31</v>
      </c>
      <c r="F356" s="20">
        <v>25</v>
      </c>
      <c r="G356" s="20">
        <v>25</v>
      </c>
      <c r="H356" s="20">
        <v>100</v>
      </c>
      <c r="I356" s="21">
        <v>95</v>
      </c>
    </row>
    <row r="357" spans="2:9">
      <c r="B357" s="1">
        <v>46172</v>
      </c>
      <c r="C357" s="12" t="s">
        <v>10</v>
      </c>
      <c r="D357" s="18">
        <v>19</v>
      </c>
      <c r="E357" s="18">
        <v>28.615384615384617</v>
      </c>
      <c r="F357" s="18">
        <v>21.875</v>
      </c>
      <c r="G357" s="18">
        <v>25</v>
      </c>
      <c r="H357" s="18">
        <v>94.490384615384613</v>
      </c>
      <c r="I357" s="19">
        <v>95</v>
      </c>
    </row>
    <row r="358" spans="2:9">
      <c r="B358" s="2">
        <v>46172</v>
      </c>
      <c r="C358" s="13" t="s">
        <v>17</v>
      </c>
      <c r="D358" s="20">
        <v>12.666666666666666</v>
      </c>
      <c r="E358" s="20">
        <v>31</v>
      </c>
      <c r="F358" s="20">
        <v>21.875</v>
      </c>
      <c r="G358" s="20">
        <v>20.454545454545457</v>
      </c>
      <c r="H358" s="20">
        <v>85.99621212121211</v>
      </c>
      <c r="I358" s="21">
        <v>95</v>
      </c>
    </row>
    <row r="359" spans="2:9">
      <c r="B359" s="1">
        <v>46179</v>
      </c>
      <c r="C359" s="12" t="s">
        <v>2</v>
      </c>
      <c r="D359" s="18">
        <v>19</v>
      </c>
      <c r="E359" s="18">
        <v>31</v>
      </c>
      <c r="F359" s="18">
        <v>18.75</v>
      </c>
      <c r="G359" s="18">
        <v>25</v>
      </c>
      <c r="H359" s="18">
        <v>93.75</v>
      </c>
      <c r="I359" s="19">
        <v>95</v>
      </c>
    </row>
    <row r="360" spans="2:9">
      <c r="B360" s="2">
        <v>46179</v>
      </c>
      <c r="C360" s="13" t="s">
        <v>5</v>
      </c>
      <c r="D360" s="20">
        <v>15.833333333333334</v>
      </c>
      <c r="E360" s="20">
        <v>31</v>
      </c>
      <c r="F360" s="20">
        <v>25</v>
      </c>
      <c r="G360" s="20">
        <v>20.454545454545457</v>
      </c>
      <c r="H360" s="20">
        <v>92.287878787878796</v>
      </c>
      <c r="I360" s="21">
        <v>95</v>
      </c>
    </row>
    <row r="361" spans="2:9">
      <c r="B361" s="1">
        <v>46179</v>
      </c>
      <c r="C361" s="12" t="s">
        <v>7</v>
      </c>
      <c r="D361" s="18">
        <v>15.833333333333334</v>
      </c>
      <c r="E361" s="18">
        <v>28.615384615384617</v>
      </c>
      <c r="F361" s="18">
        <v>25</v>
      </c>
      <c r="G361" s="18">
        <v>22.727272727272727</v>
      </c>
      <c r="H361" s="18">
        <v>92.175990675990676</v>
      </c>
      <c r="I361" s="19">
        <v>95</v>
      </c>
    </row>
    <row r="362" spans="2:9">
      <c r="B362" s="2">
        <v>46179</v>
      </c>
      <c r="C362" s="13" t="s">
        <v>11</v>
      </c>
      <c r="D362" s="20">
        <v>15.833333333333334</v>
      </c>
      <c r="E362" s="20">
        <v>31</v>
      </c>
      <c r="F362" s="20">
        <v>25</v>
      </c>
      <c r="G362" s="20">
        <v>25</v>
      </c>
      <c r="H362" s="20">
        <v>96.833333333333343</v>
      </c>
      <c r="I362" s="21">
        <v>95</v>
      </c>
    </row>
    <row r="363" spans="2:9">
      <c r="B363" s="1">
        <v>46179</v>
      </c>
      <c r="C363" s="12" t="s">
        <v>12</v>
      </c>
      <c r="D363" s="18">
        <v>19</v>
      </c>
      <c r="E363" s="18">
        <v>28.615384615384617</v>
      </c>
      <c r="F363" s="18">
        <v>21.875</v>
      </c>
      <c r="G363" s="18">
        <v>25</v>
      </c>
      <c r="H363" s="18">
        <v>94.490384615384613</v>
      </c>
      <c r="I363" s="19">
        <v>95</v>
      </c>
    </row>
    <row r="364" spans="2:9">
      <c r="B364" s="2">
        <v>46179</v>
      </c>
      <c r="C364" s="13" t="s">
        <v>9</v>
      </c>
      <c r="D364" s="20">
        <v>19</v>
      </c>
      <c r="E364" s="20">
        <v>31</v>
      </c>
      <c r="F364" s="20">
        <v>25</v>
      </c>
      <c r="G364" s="20">
        <v>25</v>
      </c>
      <c r="H364" s="20">
        <v>100</v>
      </c>
      <c r="I364" s="21">
        <v>95</v>
      </c>
    </row>
    <row r="365" spans="2:9">
      <c r="B365" s="1">
        <v>46179</v>
      </c>
      <c r="C365" s="12" t="s">
        <v>13</v>
      </c>
      <c r="D365" s="18">
        <v>15.833333333333334</v>
      </c>
      <c r="E365" s="18">
        <v>26.23076923076923</v>
      </c>
      <c r="F365" s="18">
        <v>18.75</v>
      </c>
      <c r="G365" s="18">
        <v>25</v>
      </c>
      <c r="H365" s="18">
        <v>85.814102564102569</v>
      </c>
      <c r="I365" s="19">
        <v>95</v>
      </c>
    </row>
    <row r="366" spans="2:9">
      <c r="B366" s="2">
        <v>46179</v>
      </c>
      <c r="C366" s="13" t="s">
        <v>6</v>
      </c>
      <c r="D366" s="20">
        <v>12.666666666666666</v>
      </c>
      <c r="E366" s="20">
        <v>31</v>
      </c>
      <c r="F366" s="20">
        <v>12.5</v>
      </c>
      <c r="G366" s="20">
        <v>22.727272727272727</v>
      </c>
      <c r="H366" s="20">
        <v>78.893939393939391</v>
      </c>
      <c r="I366" s="21">
        <v>95</v>
      </c>
    </row>
    <row r="367" spans="2:9">
      <c r="B367" s="1">
        <v>46179</v>
      </c>
      <c r="C367" s="12" t="s">
        <v>14</v>
      </c>
      <c r="D367" s="18">
        <v>15.833333333333334</v>
      </c>
      <c r="E367" s="18">
        <v>28.615384615384617</v>
      </c>
      <c r="F367" s="18">
        <v>18.75</v>
      </c>
      <c r="G367" s="18">
        <v>25</v>
      </c>
      <c r="H367" s="18">
        <v>88.198717948717956</v>
      </c>
      <c r="I367" s="19">
        <v>95</v>
      </c>
    </row>
    <row r="368" spans="2:9">
      <c r="B368" s="2">
        <v>46179</v>
      </c>
      <c r="C368" s="13" t="s">
        <v>4</v>
      </c>
      <c r="D368" s="20">
        <v>12.666666666666666</v>
      </c>
      <c r="E368" s="20">
        <v>31</v>
      </c>
      <c r="F368" s="20">
        <v>18.75</v>
      </c>
      <c r="G368" s="20">
        <v>25</v>
      </c>
      <c r="H368" s="20">
        <v>87.416666666666657</v>
      </c>
      <c r="I368" s="21">
        <v>95</v>
      </c>
    </row>
    <row r="369" spans="2:9">
      <c r="B369" s="1">
        <v>46179</v>
      </c>
      <c r="C369" s="12" t="s">
        <v>8</v>
      </c>
      <c r="D369" s="18">
        <v>15.833333333333334</v>
      </c>
      <c r="E369" s="18">
        <v>28.615384615384617</v>
      </c>
      <c r="F369" s="18">
        <v>18.75</v>
      </c>
      <c r="G369" s="18">
        <v>22.727272727272727</v>
      </c>
      <c r="H369" s="18">
        <v>85.925990675990676</v>
      </c>
      <c r="I369" s="19">
        <v>95</v>
      </c>
    </row>
    <row r="370" spans="2:9">
      <c r="B370" s="2">
        <v>46179</v>
      </c>
      <c r="C370" s="13" t="s">
        <v>15</v>
      </c>
      <c r="D370" s="20">
        <v>19</v>
      </c>
      <c r="E370" s="20">
        <v>31</v>
      </c>
      <c r="F370" s="20">
        <v>25</v>
      </c>
      <c r="G370" s="20">
        <v>25</v>
      </c>
      <c r="H370" s="20">
        <v>100</v>
      </c>
      <c r="I370" s="21">
        <v>95</v>
      </c>
    </row>
    <row r="371" spans="2:9">
      <c r="B371" s="1">
        <v>46179</v>
      </c>
      <c r="C371" s="12" t="s">
        <v>16</v>
      </c>
      <c r="D371" s="18">
        <v>19</v>
      </c>
      <c r="E371" s="18">
        <v>31</v>
      </c>
      <c r="F371" s="18">
        <v>21.875</v>
      </c>
      <c r="G371" s="18">
        <v>25</v>
      </c>
      <c r="H371" s="18">
        <v>96.875</v>
      </c>
      <c r="I371" s="19">
        <v>95</v>
      </c>
    </row>
    <row r="372" spans="2:9">
      <c r="B372" s="2">
        <v>46179</v>
      </c>
      <c r="C372" s="13" t="s">
        <v>18</v>
      </c>
      <c r="D372" s="20">
        <v>15.833333333333334</v>
      </c>
      <c r="E372" s="20">
        <v>28.615384615384617</v>
      </c>
      <c r="F372" s="20">
        <v>25</v>
      </c>
      <c r="G372" s="20">
        <v>25</v>
      </c>
      <c r="H372" s="20">
        <v>94.448717948717956</v>
      </c>
      <c r="I372" s="21">
        <v>95</v>
      </c>
    </row>
    <row r="373" spans="2:9">
      <c r="B373" s="1">
        <v>46179</v>
      </c>
      <c r="C373" s="12" t="s">
        <v>19</v>
      </c>
      <c r="D373" s="18">
        <v>19</v>
      </c>
      <c r="E373" s="18">
        <v>31</v>
      </c>
      <c r="F373" s="18">
        <v>25</v>
      </c>
      <c r="G373" s="18">
        <v>25</v>
      </c>
      <c r="H373" s="18">
        <v>100</v>
      </c>
      <c r="I373" s="19">
        <v>95</v>
      </c>
    </row>
    <row r="374" spans="2:9">
      <c r="B374" s="2">
        <v>46179</v>
      </c>
      <c r="C374" s="13" t="s">
        <v>10</v>
      </c>
      <c r="D374" s="20">
        <v>19</v>
      </c>
      <c r="E374" s="20">
        <v>28.615384615384617</v>
      </c>
      <c r="F374" s="20">
        <v>25</v>
      </c>
      <c r="G374" s="20">
        <v>25</v>
      </c>
      <c r="H374" s="20">
        <v>97.615384615384613</v>
      </c>
      <c r="I374" s="21">
        <v>95</v>
      </c>
    </row>
    <row r="375" spans="2:9">
      <c r="B375" s="1">
        <v>46179</v>
      </c>
      <c r="C375" s="12" t="s">
        <v>17</v>
      </c>
      <c r="D375" s="18">
        <v>12.666666666666666</v>
      </c>
      <c r="E375" s="18">
        <v>28.615384615384617</v>
      </c>
      <c r="F375" s="18">
        <v>21.875</v>
      </c>
      <c r="G375" s="18">
        <v>20.454545454545457</v>
      </c>
      <c r="H375" s="18">
        <v>83.611596736596738</v>
      </c>
      <c r="I375" s="19">
        <v>95</v>
      </c>
    </row>
    <row r="376" spans="2:9">
      <c r="B376" s="2">
        <v>46186</v>
      </c>
      <c r="C376" s="13" t="s">
        <v>2</v>
      </c>
      <c r="D376" s="20">
        <v>19</v>
      </c>
      <c r="E376" s="20">
        <v>31</v>
      </c>
      <c r="F376" s="20">
        <v>9.375</v>
      </c>
      <c r="G376" s="20">
        <v>22.727272727272727</v>
      </c>
      <c r="H376" s="20">
        <v>82.10227272727272</v>
      </c>
      <c r="I376" s="21">
        <v>95</v>
      </c>
    </row>
    <row r="377" spans="2:9">
      <c r="B377" s="1">
        <v>46186</v>
      </c>
      <c r="C377" s="12" t="s">
        <v>5</v>
      </c>
      <c r="D377" s="18">
        <v>12.666666666666666</v>
      </c>
      <c r="E377" s="18">
        <v>26.23076923076923</v>
      </c>
      <c r="F377" s="18">
        <v>21.875</v>
      </c>
      <c r="G377" s="18">
        <v>22.727272727272727</v>
      </c>
      <c r="H377" s="18">
        <v>83.499708624708632</v>
      </c>
      <c r="I377" s="19">
        <v>95</v>
      </c>
    </row>
    <row r="378" spans="2:9">
      <c r="B378" s="2">
        <v>46186</v>
      </c>
      <c r="C378" s="13" t="s">
        <v>7</v>
      </c>
      <c r="D378" s="20">
        <v>12.666666666666666</v>
      </c>
      <c r="E378" s="20">
        <v>28.615384615384617</v>
      </c>
      <c r="F378" s="20">
        <v>25</v>
      </c>
      <c r="G378" s="20">
        <v>20.454545454545457</v>
      </c>
      <c r="H378" s="20">
        <v>86.736596736596738</v>
      </c>
      <c r="I378" s="21">
        <v>95</v>
      </c>
    </row>
    <row r="379" spans="2:9">
      <c r="B379" s="1">
        <v>46186</v>
      </c>
      <c r="C379" s="12" t="s">
        <v>11</v>
      </c>
      <c r="D379" s="18">
        <v>19</v>
      </c>
      <c r="E379" s="18">
        <v>31</v>
      </c>
      <c r="F379" s="18">
        <v>25</v>
      </c>
      <c r="G379" s="18">
        <v>25</v>
      </c>
      <c r="H379" s="18">
        <v>100</v>
      </c>
      <c r="I379" s="19">
        <v>95</v>
      </c>
    </row>
    <row r="380" spans="2:9">
      <c r="B380" s="2">
        <v>46186</v>
      </c>
      <c r="C380" s="13" t="s">
        <v>12</v>
      </c>
      <c r="D380" s="20">
        <v>19</v>
      </c>
      <c r="E380" s="20">
        <v>31</v>
      </c>
      <c r="F380" s="20">
        <v>25</v>
      </c>
      <c r="G380" s="20">
        <v>25</v>
      </c>
      <c r="H380" s="20">
        <v>100</v>
      </c>
      <c r="I380" s="21">
        <v>95</v>
      </c>
    </row>
    <row r="381" spans="2:9">
      <c r="B381" s="1">
        <v>46186</v>
      </c>
      <c r="C381" s="12" t="s">
        <v>13</v>
      </c>
      <c r="D381" s="18">
        <v>15.833333333333334</v>
      </c>
      <c r="E381" s="18">
        <v>28.615384615384617</v>
      </c>
      <c r="F381" s="18">
        <v>25</v>
      </c>
      <c r="G381" s="18">
        <v>20.454545454545457</v>
      </c>
      <c r="H381" s="18">
        <v>89.903263403263409</v>
      </c>
      <c r="I381" s="19">
        <v>95</v>
      </c>
    </row>
    <row r="382" spans="2:9">
      <c r="B382" s="2">
        <v>46186</v>
      </c>
      <c r="C382" s="13" t="s">
        <v>6</v>
      </c>
      <c r="D382" s="20">
        <v>15.833333333333334</v>
      </c>
      <c r="E382" s="20">
        <v>26.23076923076923</v>
      </c>
      <c r="F382" s="20">
        <v>21.875</v>
      </c>
      <c r="G382" s="20">
        <v>22.727272727272727</v>
      </c>
      <c r="H382" s="20">
        <v>86.666375291375289</v>
      </c>
      <c r="I382" s="21">
        <v>95</v>
      </c>
    </row>
    <row r="383" spans="2:9">
      <c r="B383" s="1">
        <v>46186</v>
      </c>
      <c r="C383" s="12" t="s">
        <v>14</v>
      </c>
      <c r="D383" s="18">
        <v>12.666666666666666</v>
      </c>
      <c r="E383" s="18">
        <v>31</v>
      </c>
      <c r="F383" s="18">
        <v>21.875</v>
      </c>
      <c r="G383" s="18">
        <v>20.454545454545457</v>
      </c>
      <c r="H383" s="18">
        <v>85.99621212121211</v>
      </c>
      <c r="I383" s="19">
        <v>95</v>
      </c>
    </row>
    <row r="384" spans="2:9">
      <c r="B384" s="2">
        <v>46186</v>
      </c>
      <c r="C384" s="13" t="s">
        <v>4</v>
      </c>
      <c r="D384" s="20">
        <v>12.666666666666666</v>
      </c>
      <c r="E384" s="20">
        <v>28.615384615384617</v>
      </c>
      <c r="F384" s="20">
        <v>18.75</v>
      </c>
      <c r="G384" s="20">
        <v>20.454545454545457</v>
      </c>
      <c r="H384" s="20">
        <v>80.486596736596738</v>
      </c>
      <c r="I384" s="21">
        <v>95</v>
      </c>
    </row>
    <row r="385" spans="2:9">
      <c r="B385" s="1">
        <v>46186</v>
      </c>
      <c r="C385" s="12" t="s">
        <v>8</v>
      </c>
      <c r="D385" s="18">
        <v>15.833333333333334</v>
      </c>
      <c r="E385" s="18">
        <v>28.615384615384617</v>
      </c>
      <c r="F385" s="18">
        <v>18.75</v>
      </c>
      <c r="G385" s="18">
        <v>22.727272727272727</v>
      </c>
      <c r="H385" s="18">
        <v>85.925990675990676</v>
      </c>
      <c r="I385" s="19">
        <v>95</v>
      </c>
    </row>
    <row r="386" spans="2:9">
      <c r="B386" s="2">
        <v>46186</v>
      </c>
      <c r="C386" s="13" t="s">
        <v>15</v>
      </c>
      <c r="D386" s="20">
        <v>19</v>
      </c>
      <c r="E386" s="20">
        <v>31</v>
      </c>
      <c r="F386" s="20">
        <v>25</v>
      </c>
      <c r="G386" s="20">
        <v>22.727272727272727</v>
      </c>
      <c r="H386" s="20">
        <v>97.72727272727272</v>
      </c>
      <c r="I386" s="21">
        <v>95</v>
      </c>
    </row>
    <row r="387" spans="2:9">
      <c r="B387" s="1">
        <v>46186</v>
      </c>
      <c r="C387" s="12" t="s">
        <v>16</v>
      </c>
      <c r="D387" s="18">
        <v>19</v>
      </c>
      <c r="E387" s="18">
        <v>31</v>
      </c>
      <c r="F387" s="18">
        <v>21.875</v>
      </c>
      <c r="G387" s="18">
        <v>25</v>
      </c>
      <c r="H387" s="18">
        <v>96.875</v>
      </c>
      <c r="I387" s="19">
        <v>95</v>
      </c>
    </row>
    <row r="388" spans="2:9">
      <c r="B388" s="2">
        <v>46186</v>
      </c>
      <c r="C388" s="13" t="s">
        <v>18</v>
      </c>
      <c r="D388" s="20">
        <v>15.833333333333334</v>
      </c>
      <c r="E388" s="20">
        <v>26.23076923076923</v>
      </c>
      <c r="F388" s="20">
        <v>25</v>
      </c>
      <c r="G388" s="20">
        <v>25</v>
      </c>
      <c r="H388" s="20">
        <v>92.064102564102569</v>
      </c>
      <c r="I388" s="21">
        <v>95</v>
      </c>
    </row>
    <row r="389" spans="2:9">
      <c r="B389" s="1">
        <v>46186</v>
      </c>
      <c r="C389" s="12" t="s">
        <v>19</v>
      </c>
      <c r="D389" s="18">
        <v>19</v>
      </c>
      <c r="E389" s="18">
        <v>31</v>
      </c>
      <c r="F389" s="18">
        <v>25</v>
      </c>
      <c r="G389" s="18">
        <v>22.727272727272727</v>
      </c>
      <c r="H389" s="18">
        <v>97.72727272727272</v>
      </c>
      <c r="I389" s="19">
        <v>95</v>
      </c>
    </row>
    <row r="390" spans="2:9">
      <c r="B390" s="2">
        <v>46186</v>
      </c>
      <c r="C390" s="13" t="s">
        <v>10</v>
      </c>
      <c r="D390" s="20">
        <v>19</v>
      </c>
      <c r="E390" s="20">
        <v>31</v>
      </c>
      <c r="F390" s="20">
        <v>25</v>
      </c>
      <c r="G390" s="20">
        <v>25</v>
      </c>
      <c r="H390" s="20">
        <v>100</v>
      </c>
      <c r="I390" s="21">
        <v>95</v>
      </c>
    </row>
    <row r="391" spans="2:9">
      <c r="B391" s="1">
        <v>46186</v>
      </c>
      <c r="C391" s="12" t="s">
        <v>17</v>
      </c>
      <c r="D391" s="18">
        <v>12.666666666666666</v>
      </c>
      <c r="E391" s="18">
        <v>31</v>
      </c>
      <c r="F391" s="18">
        <v>21.875</v>
      </c>
      <c r="G391" s="18">
        <v>22.727272727272727</v>
      </c>
      <c r="H391" s="18">
        <v>88.268939393939377</v>
      </c>
      <c r="I391" s="19">
        <v>95</v>
      </c>
    </row>
    <row r="392" spans="2:9">
      <c r="B392" s="2">
        <v>46193</v>
      </c>
      <c r="C392" s="13" t="s">
        <v>2</v>
      </c>
      <c r="D392" s="20">
        <v>15.833333333333334</v>
      </c>
      <c r="E392" s="20">
        <v>26.23076923076923</v>
      </c>
      <c r="F392" s="20">
        <v>21.875</v>
      </c>
      <c r="G392" s="20">
        <v>22.727272727272727</v>
      </c>
      <c r="H392" s="20">
        <v>86.666375291375289</v>
      </c>
      <c r="I392" s="21">
        <v>95</v>
      </c>
    </row>
    <row r="393" spans="2:9">
      <c r="B393" s="1">
        <v>46193</v>
      </c>
      <c r="C393" s="12" t="s">
        <v>5</v>
      </c>
      <c r="D393" s="18">
        <v>15.833333333333334</v>
      </c>
      <c r="E393" s="18">
        <v>31</v>
      </c>
      <c r="F393" s="18">
        <v>21.875</v>
      </c>
      <c r="G393" s="18">
        <v>18.181818181818183</v>
      </c>
      <c r="H393" s="18">
        <v>86.89015151515153</v>
      </c>
      <c r="I393" s="19">
        <v>95</v>
      </c>
    </row>
    <row r="394" spans="2:9">
      <c r="B394" s="2">
        <v>46193</v>
      </c>
      <c r="C394" s="13" t="s">
        <v>7</v>
      </c>
      <c r="D394" s="20">
        <v>12.666666666666666</v>
      </c>
      <c r="E394" s="20">
        <v>28.615384615384617</v>
      </c>
      <c r="F394" s="20">
        <v>25</v>
      </c>
      <c r="G394" s="20">
        <v>20.454545454545457</v>
      </c>
      <c r="H394" s="20">
        <v>86.736596736596738</v>
      </c>
      <c r="I394" s="21">
        <v>95</v>
      </c>
    </row>
    <row r="395" spans="2:9">
      <c r="B395" s="1">
        <v>46193</v>
      </c>
      <c r="C395" s="12" t="s">
        <v>11</v>
      </c>
      <c r="D395" s="18">
        <v>19</v>
      </c>
      <c r="E395" s="18">
        <v>31</v>
      </c>
      <c r="F395" s="18">
        <v>25</v>
      </c>
      <c r="G395" s="18">
        <v>25</v>
      </c>
      <c r="H395" s="18">
        <v>100</v>
      </c>
      <c r="I395" s="19">
        <v>95</v>
      </c>
    </row>
    <row r="396" spans="2:9">
      <c r="B396" s="2">
        <v>46193</v>
      </c>
      <c r="C396" s="13" t="s">
        <v>12</v>
      </c>
      <c r="D396" s="20">
        <v>19</v>
      </c>
      <c r="E396" s="20">
        <v>31</v>
      </c>
      <c r="F396" s="20">
        <v>21.875</v>
      </c>
      <c r="G396" s="20">
        <v>22.727272727272727</v>
      </c>
      <c r="H396" s="20">
        <v>94.60227272727272</v>
      </c>
      <c r="I396" s="21">
        <v>95</v>
      </c>
    </row>
    <row r="397" spans="2:9">
      <c r="B397" s="1">
        <v>46193</v>
      </c>
      <c r="C397" s="12" t="s">
        <v>9</v>
      </c>
      <c r="D397" s="18">
        <v>15.833333333333334</v>
      </c>
      <c r="E397" s="18">
        <v>31</v>
      </c>
      <c r="F397" s="18">
        <v>25</v>
      </c>
      <c r="G397" s="18">
        <v>25</v>
      </c>
      <c r="H397" s="18">
        <v>96.833333333333343</v>
      </c>
      <c r="I397" s="19">
        <v>95</v>
      </c>
    </row>
    <row r="398" spans="2:9">
      <c r="B398" s="2">
        <v>46193</v>
      </c>
      <c r="C398" s="13" t="s">
        <v>13</v>
      </c>
      <c r="D398" s="20">
        <v>15.833333333333334</v>
      </c>
      <c r="E398" s="20">
        <v>28.615384615384617</v>
      </c>
      <c r="F398" s="20">
        <v>25</v>
      </c>
      <c r="G398" s="20">
        <v>22.727272727272727</v>
      </c>
      <c r="H398" s="20">
        <v>92.175990675990676</v>
      </c>
      <c r="I398" s="21">
        <v>95</v>
      </c>
    </row>
    <row r="399" spans="2:9">
      <c r="B399" s="1">
        <v>46193</v>
      </c>
      <c r="C399" s="12" t="s">
        <v>6</v>
      </c>
      <c r="D399" s="18">
        <v>12.666666666666666</v>
      </c>
      <c r="E399" s="18">
        <v>26.23076923076923</v>
      </c>
      <c r="F399" s="18">
        <v>18.75</v>
      </c>
      <c r="G399" s="18">
        <v>20.454545454545457</v>
      </c>
      <c r="H399" s="18">
        <v>78.101981351981351</v>
      </c>
      <c r="I399" s="19">
        <v>95</v>
      </c>
    </row>
    <row r="400" spans="2:9">
      <c r="B400" s="2">
        <v>46193</v>
      </c>
      <c r="C400" s="13" t="s">
        <v>14</v>
      </c>
      <c r="D400" s="20">
        <v>12.666666666666666</v>
      </c>
      <c r="E400" s="20">
        <v>31</v>
      </c>
      <c r="F400" s="20">
        <v>21.875</v>
      </c>
      <c r="G400" s="20">
        <v>25</v>
      </c>
      <c r="H400" s="20">
        <v>90.541666666666657</v>
      </c>
      <c r="I400" s="21">
        <v>95</v>
      </c>
    </row>
    <row r="401" spans="2:9">
      <c r="B401" s="1">
        <v>46193</v>
      </c>
      <c r="C401" s="12" t="s">
        <v>4</v>
      </c>
      <c r="D401" s="18">
        <v>12.666666666666666</v>
      </c>
      <c r="E401" s="18">
        <v>26.23076923076923</v>
      </c>
      <c r="F401" s="18">
        <v>21.875</v>
      </c>
      <c r="G401" s="18">
        <v>25</v>
      </c>
      <c r="H401" s="18">
        <v>85.772435897435898</v>
      </c>
      <c r="I401" s="19">
        <v>95</v>
      </c>
    </row>
    <row r="402" spans="2:9">
      <c r="B402" s="2">
        <v>46193</v>
      </c>
      <c r="C402" s="13" t="s">
        <v>8</v>
      </c>
      <c r="D402" s="20">
        <v>15.833333333333334</v>
      </c>
      <c r="E402" s="20">
        <v>23.846153846153847</v>
      </c>
      <c r="F402" s="20">
        <v>18.75</v>
      </c>
      <c r="G402" s="20">
        <v>22.727272727272727</v>
      </c>
      <c r="H402" s="20">
        <v>81.156759906759902</v>
      </c>
      <c r="I402" s="21">
        <v>95</v>
      </c>
    </row>
    <row r="403" spans="2:9">
      <c r="B403" s="1">
        <v>46193</v>
      </c>
      <c r="C403" s="12" t="s">
        <v>15</v>
      </c>
      <c r="D403" s="18">
        <v>19</v>
      </c>
      <c r="E403" s="18">
        <v>31</v>
      </c>
      <c r="F403" s="18">
        <v>25</v>
      </c>
      <c r="G403" s="18">
        <v>25</v>
      </c>
      <c r="H403" s="18">
        <v>100</v>
      </c>
      <c r="I403" s="19">
        <v>95</v>
      </c>
    </row>
    <row r="404" spans="2:9">
      <c r="B404" s="2">
        <v>46193</v>
      </c>
      <c r="C404" s="13" t="s">
        <v>16</v>
      </c>
      <c r="D404" s="20">
        <v>19</v>
      </c>
      <c r="E404" s="20">
        <v>31</v>
      </c>
      <c r="F404" s="20">
        <v>25</v>
      </c>
      <c r="G404" s="20">
        <v>22.727272727272727</v>
      </c>
      <c r="H404" s="20">
        <v>97.72727272727272</v>
      </c>
      <c r="I404" s="21">
        <v>95</v>
      </c>
    </row>
    <row r="405" spans="2:9">
      <c r="B405" s="1">
        <v>46193</v>
      </c>
      <c r="C405" s="12" t="s">
        <v>18</v>
      </c>
      <c r="D405" s="18">
        <v>15.833333333333334</v>
      </c>
      <c r="E405" s="18">
        <v>31</v>
      </c>
      <c r="F405" s="18">
        <v>25</v>
      </c>
      <c r="G405" s="18">
        <v>25</v>
      </c>
      <c r="H405" s="18">
        <v>96.833333333333343</v>
      </c>
      <c r="I405" s="19">
        <v>95</v>
      </c>
    </row>
    <row r="406" spans="2:9">
      <c r="B406" s="2">
        <v>46193</v>
      </c>
      <c r="C406" s="13" t="s">
        <v>19</v>
      </c>
      <c r="D406" s="20">
        <v>19</v>
      </c>
      <c r="E406" s="20">
        <v>28.615384615384617</v>
      </c>
      <c r="F406" s="20">
        <v>25</v>
      </c>
      <c r="G406" s="20">
        <v>22.727272727272727</v>
      </c>
      <c r="H406" s="20">
        <v>95.342657342657333</v>
      </c>
      <c r="I406" s="21">
        <v>95</v>
      </c>
    </row>
    <row r="407" spans="2:9">
      <c r="B407" s="1">
        <v>46193</v>
      </c>
      <c r="C407" s="12" t="s">
        <v>10</v>
      </c>
      <c r="D407" s="18">
        <v>19</v>
      </c>
      <c r="E407" s="18">
        <v>28.615384615384617</v>
      </c>
      <c r="F407" s="18">
        <v>25</v>
      </c>
      <c r="G407" s="18">
        <v>22.727272727272727</v>
      </c>
      <c r="H407" s="18">
        <v>95.342657342657333</v>
      </c>
      <c r="I407" s="19">
        <v>95</v>
      </c>
    </row>
    <row r="408" spans="2:9">
      <c r="B408" s="2">
        <v>46193</v>
      </c>
      <c r="C408" s="13" t="s">
        <v>17</v>
      </c>
      <c r="D408" s="20">
        <v>12.666666666666666</v>
      </c>
      <c r="E408" s="20">
        <v>26.23076923076923</v>
      </c>
      <c r="F408" s="20">
        <v>21.875</v>
      </c>
      <c r="G408" s="20">
        <v>20.454545454545457</v>
      </c>
      <c r="H408" s="20">
        <v>81.226981351981351</v>
      </c>
      <c r="I408" s="21">
        <v>95</v>
      </c>
    </row>
    <row r="409" spans="2:9">
      <c r="B409" s="1">
        <v>46200</v>
      </c>
      <c r="C409" s="12" t="s">
        <v>2</v>
      </c>
      <c r="D409" s="18">
        <v>19</v>
      </c>
      <c r="E409" s="18">
        <v>26.23076923076923</v>
      </c>
      <c r="F409" s="18">
        <v>12.5</v>
      </c>
      <c r="G409" s="18">
        <v>18.181818181818183</v>
      </c>
      <c r="H409" s="18">
        <v>75.912587412587413</v>
      </c>
      <c r="I409" s="19">
        <v>95</v>
      </c>
    </row>
    <row r="410" spans="2:9">
      <c r="B410" s="2">
        <v>46200</v>
      </c>
      <c r="C410" s="13" t="s">
        <v>5</v>
      </c>
      <c r="D410" s="20">
        <v>12.666666666666666</v>
      </c>
      <c r="E410" s="20">
        <v>28.615384615384617</v>
      </c>
      <c r="F410" s="20">
        <v>21.875</v>
      </c>
      <c r="G410" s="20">
        <v>22.727272727272727</v>
      </c>
      <c r="H410" s="20">
        <v>85.884324009324018</v>
      </c>
      <c r="I410" s="21">
        <v>95</v>
      </c>
    </row>
    <row r="411" spans="2:9">
      <c r="B411" s="1">
        <v>46200</v>
      </c>
      <c r="C411" s="12" t="s">
        <v>7</v>
      </c>
      <c r="D411" s="18">
        <v>15.833333333333334</v>
      </c>
      <c r="E411" s="18">
        <v>31</v>
      </c>
      <c r="F411" s="18">
        <v>21.875</v>
      </c>
      <c r="G411" s="18">
        <v>22.727272727272727</v>
      </c>
      <c r="H411" s="18">
        <v>91.435606060606062</v>
      </c>
      <c r="I411" s="19">
        <v>95</v>
      </c>
    </row>
    <row r="412" spans="2:9">
      <c r="B412" s="2">
        <v>46200</v>
      </c>
      <c r="C412" s="13" t="s">
        <v>11</v>
      </c>
      <c r="D412" s="20">
        <v>19</v>
      </c>
      <c r="E412" s="20">
        <v>31</v>
      </c>
      <c r="F412" s="20">
        <v>25</v>
      </c>
      <c r="G412" s="20">
        <v>25</v>
      </c>
      <c r="H412" s="20">
        <v>100</v>
      </c>
      <c r="I412" s="21">
        <v>95</v>
      </c>
    </row>
    <row r="413" spans="2:9">
      <c r="B413" s="1">
        <v>46200</v>
      </c>
      <c r="C413" s="12" t="s">
        <v>12</v>
      </c>
      <c r="D413" s="18">
        <v>19</v>
      </c>
      <c r="E413" s="18">
        <v>31</v>
      </c>
      <c r="F413" s="18">
        <v>25</v>
      </c>
      <c r="G413" s="18">
        <v>25</v>
      </c>
      <c r="H413" s="18">
        <v>100</v>
      </c>
      <c r="I413" s="19">
        <v>95</v>
      </c>
    </row>
    <row r="414" spans="2:9">
      <c r="B414" s="2">
        <v>46200</v>
      </c>
      <c r="C414" s="13" t="s">
        <v>9</v>
      </c>
      <c r="D414" s="20">
        <v>19</v>
      </c>
      <c r="E414" s="20">
        <v>28.785714285714288</v>
      </c>
      <c r="F414" s="20">
        <v>25</v>
      </c>
      <c r="G414" s="20">
        <v>25</v>
      </c>
      <c r="H414" s="20">
        <v>97.785714285714292</v>
      </c>
      <c r="I414" s="21">
        <v>95</v>
      </c>
    </row>
    <row r="415" spans="2:9">
      <c r="B415" s="1">
        <v>46200</v>
      </c>
      <c r="C415" s="12" t="s">
        <v>13</v>
      </c>
      <c r="D415" s="18">
        <v>15.833333333333334</v>
      </c>
      <c r="E415" s="18">
        <v>28.615384615384617</v>
      </c>
      <c r="F415" s="18">
        <v>25</v>
      </c>
      <c r="G415" s="18">
        <v>22.727272727272727</v>
      </c>
      <c r="H415" s="18">
        <v>92.175990675990676</v>
      </c>
      <c r="I415" s="19">
        <v>95</v>
      </c>
    </row>
    <row r="416" spans="2:9">
      <c r="B416" s="2">
        <v>46200</v>
      </c>
      <c r="C416" s="13" t="s">
        <v>6</v>
      </c>
      <c r="D416" s="20">
        <v>12.666666666666666</v>
      </c>
      <c r="E416" s="20">
        <v>31</v>
      </c>
      <c r="F416" s="20">
        <v>12.5</v>
      </c>
      <c r="G416" s="20">
        <v>22.727272727272727</v>
      </c>
      <c r="H416" s="20">
        <v>78.893939393939391</v>
      </c>
      <c r="I416" s="21">
        <v>95</v>
      </c>
    </row>
    <row r="417" spans="2:9">
      <c r="B417" s="1">
        <v>46200</v>
      </c>
      <c r="C417" s="12" t="s">
        <v>14</v>
      </c>
      <c r="D417" s="18">
        <v>19</v>
      </c>
      <c r="E417" s="18">
        <v>31</v>
      </c>
      <c r="F417" s="18">
        <v>21.875</v>
      </c>
      <c r="G417" s="18">
        <v>25</v>
      </c>
      <c r="H417" s="18">
        <v>96.875</v>
      </c>
      <c r="I417" s="19">
        <v>95</v>
      </c>
    </row>
    <row r="418" spans="2:9">
      <c r="B418" s="2">
        <v>46200</v>
      </c>
      <c r="C418" s="13" t="s">
        <v>4</v>
      </c>
      <c r="D418" s="20">
        <v>15.833333333333334</v>
      </c>
      <c r="E418" s="20">
        <v>31</v>
      </c>
      <c r="F418" s="20">
        <v>18.75</v>
      </c>
      <c r="G418" s="20">
        <v>22.727272727272727</v>
      </c>
      <c r="H418" s="20">
        <v>88.310606060606062</v>
      </c>
      <c r="I418" s="21">
        <v>95</v>
      </c>
    </row>
    <row r="419" spans="2:9">
      <c r="B419" s="1">
        <v>46200</v>
      </c>
      <c r="C419" s="12" t="s">
        <v>8</v>
      </c>
      <c r="D419" s="18">
        <v>15.833333333333334</v>
      </c>
      <c r="E419" s="18">
        <v>31</v>
      </c>
      <c r="F419" s="18">
        <v>18.75</v>
      </c>
      <c r="G419" s="18">
        <v>25</v>
      </c>
      <c r="H419" s="18">
        <v>90.583333333333343</v>
      </c>
      <c r="I419" s="19">
        <v>95</v>
      </c>
    </row>
    <row r="420" spans="2:9">
      <c r="B420" s="2">
        <v>46200</v>
      </c>
      <c r="C420" s="13" t="s">
        <v>15</v>
      </c>
      <c r="D420" s="20">
        <v>19</v>
      </c>
      <c r="E420" s="20">
        <v>31</v>
      </c>
      <c r="F420" s="20">
        <v>25</v>
      </c>
      <c r="G420" s="20">
        <v>22.727272727272727</v>
      </c>
      <c r="H420" s="20">
        <v>97.72727272727272</v>
      </c>
      <c r="I420" s="21">
        <v>95</v>
      </c>
    </row>
    <row r="421" spans="2:9">
      <c r="B421" s="1">
        <v>46200</v>
      </c>
      <c r="C421" s="12" t="s">
        <v>16</v>
      </c>
      <c r="D421" s="18">
        <v>19</v>
      </c>
      <c r="E421" s="18">
        <v>31</v>
      </c>
      <c r="F421" s="18">
        <v>25</v>
      </c>
      <c r="G421" s="18">
        <v>25</v>
      </c>
      <c r="H421" s="18">
        <v>100</v>
      </c>
      <c r="I421" s="19">
        <v>95</v>
      </c>
    </row>
    <row r="422" spans="2:9">
      <c r="B422" s="2">
        <v>46200</v>
      </c>
      <c r="C422" s="13" t="s">
        <v>18</v>
      </c>
      <c r="D422" s="20">
        <v>19</v>
      </c>
      <c r="E422" s="20">
        <v>31</v>
      </c>
      <c r="F422" s="20">
        <v>25</v>
      </c>
      <c r="G422" s="20">
        <v>25</v>
      </c>
      <c r="H422" s="20">
        <v>100</v>
      </c>
      <c r="I422" s="21">
        <v>95</v>
      </c>
    </row>
    <row r="423" spans="2:9">
      <c r="B423" s="1">
        <v>46200</v>
      </c>
      <c r="C423" s="12" t="s">
        <v>19</v>
      </c>
      <c r="D423" s="18">
        <v>19</v>
      </c>
      <c r="E423" s="18">
        <v>31</v>
      </c>
      <c r="F423" s="18">
        <v>25</v>
      </c>
      <c r="G423" s="18">
        <v>25</v>
      </c>
      <c r="H423" s="18">
        <v>100</v>
      </c>
      <c r="I423" s="19">
        <v>95</v>
      </c>
    </row>
    <row r="424" spans="2:9">
      <c r="B424" s="2">
        <v>46200</v>
      </c>
      <c r="C424" s="13" t="s">
        <v>10</v>
      </c>
      <c r="D424" s="20">
        <v>19</v>
      </c>
      <c r="E424" s="20">
        <v>28.615384615384617</v>
      </c>
      <c r="F424" s="20">
        <v>25</v>
      </c>
      <c r="G424" s="20">
        <v>20.454545454545457</v>
      </c>
      <c r="H424" s="20">
        <v>93.069930069930066</v>
      </c>
      <c r="I424" s="21">
        <v>95</v>
      </c>
    </row>
    <row r="425" spans="2:9">
      <c r="B425" s="1">
        <v>46200</v>
      </c>
      <c r="C425" s="12" t="s">
        <v>17</v>
      </c>
      <c r="D425" s="18">
        <v>12.666666666666666</v>
      </c>
      <c r="E425" s="18">
        <v>28.615384615384617</v>
      </c>
      <c r="F425" s="18">
        <v>18.75</v>
      </c>
      <c r="G425" s="18">
        <v>20.454545454545457</v>
      </c>
      <c r="H425" s="18">
        <v>80.486596736596738</v>
      </c>
      <c r="I425" s="19">
        <v>95</v>
      </c>
    </row>
    <row r="426" spans="2:9">
      <c r="B426" s="2">
        <v>46207</v>
      </c>
      <c r="C426" s="13" t="s">
        <v>2</v>
      </c>
      <c r="D426" s="20">
        <v>19</v>
      </c>
      <c r="E426" s="20">
        <v>28.615384615384617</v>
      </c>
      <c r="F426" s="20">
        <v>21.875</v>
      </c>
      <c r="G426" s="20">
        <v>25</v>
      </c>
      <c r="H426" s="20">
        <v>94.490384615384613</v>
      </c>
      <c r="I426" s="21">
        <v>95</v>
      </c>
    </row>
    <row r="427" spans="2:9">
      <c r="B427" s="1">
        <v>46207</v>
      </c>
      <c r="C427" s="12" t="s">
        <v>5</v>
      </c>
      <c r="D427" s="18">
        <v>15.833333333333334</v>
      </c>
      <c r="E427" s="18">
        <v>31</v>
      </c>
      <c r="F427" s="18">
        <v>21.875</v>
      </c>
      <c r="G427" s="18">
        <v>20.454545454545457</v>
      </c>
      <c r="H427" s="18">
        <v>89.162878787878796</v>
      </c>
      <c r="I427" s="19">
        <v>95</v>
      </c>
    </row>
    <row r="428" spans="2:9">
      <c r="B428" s="2">
        <v>46207</v>
      </c>
      <c r="C428" s="13" t="s">
        <v>7</v>
      </c>
      <c r="D428" s="20">
        <v>12.666666666666666</v>
      </c>
      <c r="E428" s="20">
        <v>28.615384615384617</v>
      </c>
      <c r="F428" s="20">
        <v>25</v>
      </c>
      <c r="G428" s="20">
        <v>22.727272727272727</v>
      </c>
      <c r="H428" s="20">
        <v>89.009324009324018</v>
      </c>
      <c r="I428" s="21">
        <v>95</v>
      </c>
    </row>
    <row r="429" spans="2:9">
      <c r="B429" s="1">
        <v>46207</v>
      </c>
      <c r="C429" s="12" t="s">
        <v>11</v>
      </c>
      <c r="D429" s="18">
        <v>15.833333333333334</v>
      </c>
      <c r="E429" s="18">
        <v>31</v>
      </c>
      <c r="F429" s="18">
        <v>25</v>
      </c>
      <c r="G429" s="18">
        <v>25</v>
      </c>
      <c r="H429" s="18">
        <v>96.833333333333343</v>
      </c>
      <c r="I429" s="19">
        <v>95</v>
      </c>
    </row>
    <row r="430" spans="2:9">
      <c r="B430" s="2">
        <v>46207</v>
      </c>
      <c r="C430" s="13" t="s">
        <v>12</v>
      </c>
      <c r="D430" s="20">
        <v>19</v>
      </c>
      <c r="E430" s="20">
        <v>31</v>
      </c>
      <c r="F430" s="20">
        <v>25</v>
      </c>
      <c r="G430" s="20">
        <v>25</v>
      </c>
      <c r="H430" s="20">
        <v>100</v>
      </c>
      <c r="I430" s="21">
        <v>95</v>
      </c>
    </row>
    <row r="431" spans="2:9">
      <c r="B431" s="1">
        <v>46207</v>
      </c>
      <c r="C431" s="12" t="s">
        <v>9</v>
      </c>
      <c r="D431" s="18">
        <v>19</v>
      </c>
      <c r="E431" s="18">
        <v>31</v>
      </c>
      <c r="F431" s="18">
        <v>25</v>
      </c>
      <c r="G431" s="18">
        <v>25</v>
      </c>
      <c r="H431" s="18">
        <v>100</v>
      </c>
      <c r="I431" s="19">
        <v>95</v>
      </c>
    </row>
    <row r="432" spans="2:9">
      <c r="B432" s="2">
        <v>46207</v>
      </c>
      <c r="C432" s="13" t="s">
        <v>13</v>
      </c>
      <c r="D432" s="20">
        <v>19</v>
      </c>
      <c r="E432" s="20">
        <v>31</v>
      </c>
      <c r="F432" s="20">
        <v>25</v>
      </c>
      <c r="G432" s="20">
        <v>22.727272727272727</v>
      </c>
      <c r="H432" s="20">
        <v>97.72727272727272</v>
      </c>
      <c r="I432" s="21">
        <v>95</v>
      </c>
    </row>
    <row r="433" spans="2:9">
      <c r="B433" s="1">
        <v>46207</v>
      </c>
      <c r="C433" s="12" t="s">
        <v>6</v>
      </c>
      <c r="D433" s="18">
        <v>15.833333333333334</v>
      </c>
      <c r="E433" s="18">
        <v>31</v>
      </c>
      <c r="F433" s="18">
        <v>18.75</v>
      </c>
      <c r="G433" s="18">
        <v>25</v>
      </c>
      <c r="H433" s="18">
        <v>90.583333333333343</v>
      </c>
      <c r="I433" s="19">
        <v>95</v>
      </c>
    </row>
    <row r="434" spans="2:9">
      <c r="B434" s="2">
        <v>46207</v>
      </c>
      <c r="C434" s="13" t="s">
        <v>14</v>
      </c>
      <c r="D434" s="20">
        <v>15.833333333333334</v>
      </c>
      <c r="E434" s="20">
        <v>26.23076923076923</v>
      </c>
      <c r="F434" s="20">
        <v>21.875</v>
      </c>
      <c r="G434" s="20">
        <v>25</v>
      </c>
      <c r="H434" s="20">
        <v>88.939102564102569</v>
      </c>
      <c r="I434" s="21">
        <v>95</v>
      </c>
    </row>
    <row r="435" spans="2:9">
      <c r="B435" s="1">
        <v>46207</v>
      </c>
      <c r="C435" s="12" t="s">
        <v>4</v>
      </c>
      <c r="D435" s="18">
        <v>15.833333333333334</v>
      </c>
      <c r="E435" s="18">
        <v>23.846153846153847</v>
      </c>
      <c r="F435" s="18">
        <v>18.75</v>
      </c>
      <c r="G435" s="18">
        <v>22.727272727272727</v>
      </c>
      <c r="H435" s="18">
        <v>81.156759906759902</v>
      </c>
      <c r="I435" s="19">
        <v>95</v>
      </c>
    </row>
    <row r="436" spans="2:9">
      <c r="B436" s="2">
        <v>46207</v>
      </c>
      <c r="C436" s="13" t="s">
        <v>8</v>
      </c>
      <c r="D436" s="20">
        <v>15.833333333333334</v>
      </c>
      <c r="E436" s="20">
        <v>31</v>
      </c>
      <c r="F436" s="20">
        <v>18.75</v>
      </c>
      <c r="G436" s="20">
        <v>25</v>
      </c>
      <c r="H436" s="20">
        <v>90.583333333333343</v>
      </c>
      <c r="I436" s="21">
        <v>95</v>
      </c>
    </row>
    <row r="437" spans="2:9">
      <c r="B437" s="1">
        <v>46207</v>
      </c>
      <c r="C437" s="12" t="s">
        <v>15</v>
      </c>
      <c r="D437" s="18">
        <v>19</v>
      </c>
      <c r="E437" s="18">
        <v>31</v>
      </c>
      <c r="F437" s="18">
        <v>25</v>
      </c>
      <c r="G437" s="18">
        <v>25</v>
      </c>
      <c r="H437" s="18">
        <v>100</v>
      </c>
      <c r="I437" s="19">
        <v>95</v>
      </c>
    </row>
    <row r="438" spans="2:9">
      <c r="B438" s="2">
        <v>46207</v>
      </c>
      <c r="C438" s="13" t="s">
        <v>16</v>
      </c>
      <c r="D438" s="20">
        <v>19</v>
      </c>
      <c r="E438" s="20">
        <v>31</v>
      </c>
      <c r="F438" s="20">
        <v>25</v>
      </c>
      <c r="G438" s="20">
        <v>25</v>
      </c>
      <c r="H438" s="20">
        <v>100</v>
      </c>
      <c r="I438" s="21">
        <v>95</v>
      </c>
    </row>
    <row r="439" spans="2:9">
      <c r="B439" s="1">
        <v>46207</v>
      </c>
      <c r="C439" s="12" t="s">
        <v>18</v>
      </c>
      <c r="D439" s="18">
        <v>15.833333333333334</v>
      </c>
      <c r="E439" s="18">
        <v>28.615384615384617</v>
      </c>
      <c r="F439" s="18">
        <v>25</v>
      </c>
      <c r="G439" s="18">
        <v>25</v>
      </c>
      <c r="H439" s="18">
        <v>94.448717948717956</v>
      </c>
      <c r="I439" s="19">
        <v>95</v>
      </c>
    </row>
    <row r="440" spans="2:9">
      <c r="B440" s="2">
        <v>46207</v>
      </c>
      <c r="C440" s="13" t="s">
        <v>19</v>
      </c>
      <c r="D440" s="20">
        <v>19</v>
      </c>
      <c r="E440" s="20">
        <v>31</v>
      </c>
      <c r="F440" s="20">
        <v>25</v>
      </c>
      <c r="G440" s="20">
        <v>25</v>
      </c>
      <c r="H440" s="20">
        <v>100</v>
      </c>
      <c r="I440" s="21">
        <v>95</v>
      </c>
    </row>
    <row r="441" spans="2:9">
      <c r="B441" s="1">
        <v>46207</v>
      </c>
      <c r="C441" s="12" t="s">
        <v>10</v>
      </c>
      <c r="D441" s="18">
        <v>19</v>
      </c>
      <c r="E441" s="18">
        <v>28.615384615384617</v>
      </c>
      <c r="F441" s="18">
        <v>25</v>
      </c>
      <c r="G441" s="18">
        <v>22.727272727272727</v>
      </c>
      <c r="H441" s="18">
        <v>95.342657342657333</v>
      </c>
      <c r="I441" s="19">
        <v>95</v>
      </c>
    </row>
    <row r="442" spans="2:9">
      <c r="B442" s="2">
        <v>46207</v>
      </c>
      <c r="C442" s="13" t="s">
        <v>17</v>
      </c>
      <c r="D442" s="20">
        <v>12.666666666666666</v>
      </c>
      <c r="E442" s="20">
        <v>23.846153846153847</v>
      </c>
      <c r="F442" s="20">
        <v>21.875</v>
      </c>
      <c r="G442" s="20">
        <v>20.454545454545457</v>
      </c>
      <c r="H442" s="20">
        <v>78.842365967365964</v>
      </c>
      <c r="I442" s="21">
        <v>95</v>
      </c>
    </row>
    <row r="443" spans="2:9">
      <c r="B443" s="1">
        <v>46214</v>
      </c>
      <c r="C443" s="12" t="s">
        <v>2</v>
      </c>
      <c r="D443" s="18">
        <v>15.833333333333334</v>
      </c>
      <c r="E443" s="18">
        <v>31</v>
      </c>
      <c r="F443" s="18">
        <v>18.75</v>
      </c>
      <c r="G443" s="18">
        <v>22.727272727272727</v>
      </c>
      <c r="H443" s="18">
        <v>88.310606060606062</v>
      </c>
      <c r="I443" s="19">
        <v>95</v>
      </c>
    </row>
    <row r="444" spans="2:9">
      <c r="B444" s="2">
        <v>46214</v>
      </c>
      <c r="C444" s="13" t="s">
        <v>5</v>
      </c>
      <c r="D444" s="20">
        <v>12.666666666666666</v>
      </c>
      <c r="E444" s="20">
        <v>26.23076923076923</v>
      </c>
      <c r="F444" s="20">
        <v>25</v>
      </c>
      <c r="G444" s="20">
        <v>18.181818181818183</v>
      </c>
      <c r="H444" s="20">
        <v>82.079254079254085</v>
      </c>
      <c r="I444" s="21">
        <v>95</v>
      </c>
    </row>
    <row r="445" spans="2:9">
      <c r="B445" s="1">
        <v>46214</v>
      </c>
      <c r="C445" s="12" t="s">
        <v>7</v>
      </c>
      <c r="D445" s="18">
        <v>12.666666666666666</v>
      </c>
      <c r="E445" s="18">
        <v>28.615384615384617</v>
      </c>
      <c r="F445" s="18">
        <v>21.875</v>
      </c>
      <c r="G445" s="18">
        <v>25</v>
      </c>
      <c r="H445" s="18">
        <v>88.157051282051285</v>
      </c>
      <c r="I445" s="19">
        <v>95</v>
      </c>
    </row>
    <row r="446" spans="2:9">
      <c r="B446" s="2">
        <v>46214</v>
      </c>
      <c r="C446" s="13" t="s">
        <v>11</v>
      </c>
      <c r="D446" s="20">
        <v>15.833333333333334</v>
      </c>
      <c r="E446" s="20">
        <v>31</v>
      </c>
      <c r="F446" s="20">
        <v>25</v>
      </c>
      <c r="G446" s="20">
        <v>25</v>
      </c>
      <c r="H446" s="20">
        <v>96.833333333333343</v>
      </c>
      <c r="I446" s="21">
        <v>95</v>
      </c>
    </row>
    <row r="447" spans="2:9">
      <c r="B447" s="1">
        <v>46214</v>
      </c>
      <c r="C447" s="12" t="s">
        <v>12</v>
      </c>
      <c r="D447" s="18">
        <v>19</v>
      </c>
      <c r="E447" s="18">
        <v>31</v>
      </c>
      <c r="F447" s="18">
        <v>25</v>
      </c>
      <c r="G447" s="18">
        <v>25</v>
      </c>
      <c r="H447" s="18">
        <v>100</v>
      </c>
      <c r="I447" s="19">
        <v>95</v>
      </c>
    </row>
    <row r="448" spans="2:9">
      <c r="B448" s="2">
        <v>46214</v>
      </c>
      <c r="C448" s="13" t="s">
        <v>9</v>
      </c>
      <c r="D448" s="20">
        <v>19</v>
      </c>
      <c r="E448" s="20">
        <v>31</v>
      </c>
      <c r="F448" s="20">
        <v>25</v>
      </c>
      <c r="G448" s="20">
        <v>25</v>
      </c>
      <c r="H448" s="20">
        <v>100</v>
      </c>
      <c r="I448" s="21">
        <v>95</v>
      </c>
    </row>
    <row r="449" spans="2:9">
      <c r="B449" s="1">
        <v>46214</v>
      </c>
      <c r="C449" s="12" t="s">
        <v>13</v>
      </c>
      <c r="D449" s="18">
        <v>15.833333333333334</v>
      </c>
      <c r="E449" s="18">
        <v>28.615384615384617</v>
      </c>
      <c r="F449" s="18">
        <v>25</v>
      </c>
      <c r="G449" s="18">
        <v>22.727272727272727</v>
      </c>
      <c r="H449" s="18">
        <v>92.175990675990676</v>
      </c>
      <c r="I449" s="19">
        <v>95</v>
      </c>
    </row>
    <row r="450" spans="2:9">
      <c r="B450" s="2">
        <v>46214</v>
      </c>
      <c r="C450" s="13" t="s">
        <v>6</v>
      </c>
      <c r="D450" s="20">
        <v>12.666666666666666</v>
      </c>
      <c r="E450" s="20">
        <v>26.23076923076923</v>
      </c>
      <c r="F450" s="20">
        <v>21.875</v>
      </c>
      <c r="G450" s="20">
        <v>22.727272727272727</v>
      </c>
      <c r="H450" s="20">
        <v>83.499708624708632</v>
      </c>
      <c r="I450" s="21">
        <v>95</v>
      </c>
    </row>
    <row r="451" spans="2:9">
      <c r="B451" s="1">
        <v>46214</v>
      </c>
      <c r="C451" s="12" t="s">
        <v>14</v>
      </c>
      <c r="D451" s="18">
        <v>12.666666666666666</v>
      </c>
      <c r="E451" s="18">
        <v>23.846153846153847</v>
      </c>
      <c r="F451" s="18">
        <v>21.875</v>
      </c>
      <c r="G451" s="18">
        <v>25</v>
      </c>
      <c r="H451" s="18">
        <v>83.387820512820511</v>
      </c>
      <c r="I451" s="19">
        <v>95</v>
      </c>
    </row>
    <row r="452" spans="2:9">
      <c r="B452" s="2">
        <v>46214</v>
      </c>
      <c r="C452" s="13" t="s">
        <v>4</v>
      </c>
      <c r="D452" s="20">
        <v>12.666666666666666</v>
      </c>
      <c r="E452" s="20">
        <v>31</v>
      </c>
      <c r="F452" s="20">
        <v>18.75</v>
      </c>
      <c r="G452" s="20">
        <v>22.727272727272727</v>
      </c>
      <c r="H452" s="20">
        <v>85.143939393939391</v>
      </c>
      <c r="I452" s="21">
        <v>95</v>
      </c>
    </row>
    <row r="453" spans="2:9">
      <c r="B453" s="1">
        <v>46214</v>
      </c>
      <c r="C453" s="12" t="s">
        <v>8</v>
      </c>
      <c r="D453" s="18">
        <v>15.833333333333334</v>
      </c>
      <c r="E453" s="18">
        <v>26.23076923076923</v>
      </c>
      <c r="F453" s="18">
        <v>18.75</v>
      </c>
      <c r="G453" s="18">
        <v>25</v>
      </c>
      <c r="H453" s="18">
        <v>85.814102564102569</v>
      </c>
      <c r="I453" s="19">
        <v>95</v>
      </c>
    </row>
    <row r="454" spans="2:9">
      <c r="B454" s="2">
        <v>46214</v>
      </c>
      <c r="C454" s="13" t="s">
        <v>15</v>
      </c>
      <c r="D454" s="20">
        <v>19</v>
      </c>
      <c r="E454" s="20">
        <v>26.23076923076923</v>
      </c>
      <c r="F454" s="20">
        <v>25</v>
      </c>
      <c r="G454" s="20">
        <v>20.454545454545457</v>
      </c>
      <c r="H454" s="20">
        <v>90.68531468531468</v>
      </c>
      <c r="I454" s="21">
        <v>95</v>
      </c>
    </row>
    <row r="455" spans="2:9">
      <c r="B455" s="1">
        <v>46214</v>
      </c>
      <c r="C455" s="12" t="s">
        <v>16</v>
      </c>
      <c r="D455" s="18">
        <v>19</v>
      </c>
      <c r="E455" s="18">
        <v>31</v>
      </c>
      <c r="F455" s="18">
        <v>25</v>
      </c>
      <c r="G455" s="18">
        <v>25</v>
      </c>
      <c r="H455" s="18">
        <v>100</v>
      </c>
      <c r="I455" s="19">
        <v>95</v>
      </c>
    </row>
    <row r="456" spans="2:9">
      <c r="B456" s="2">
        <v>46214</v>
      </c>
      <c r="C456" s="13" t="s">
        <v>18</v>
      </c>
      <c r="D456" s="20">
        <v>15.833333333333334</v>
      </c>
      <c r="E456" s="20">
        <v>31</v>
      </c>
      <c r="F456" s="20">
        <v>25</v>
      </c>
      <c r="G456" s="20">
        <v>25</v>
      </c>
      <c r="H456" s="20">
        <v>96.833333333333343</v>
      </c>
      <c r="I456" s="21">
        <v>95</v>
      </c>
    </row>
    <row r="457" spans="2:9">
      <c r="B457" s="1">
        <v>46214</v>
      </c>
      <c r="C457" s="12" t="s">
        <v>19</v>
      </c>
      <c r="D457" s="18">
        <v>19</v>
      </c>
      <c r="E457" s="18">
        <v>31</v>
      </c>
      <c r="F457" s="18">
        <v>25</v>
      </c>
      <c r="G457" s="18">
        <v>22.727272727272727</v>
      </c>
      <c r="H457" s="18">
        <v>97.72727272727272</v>
      </c>
      <c r="I457" s="19">
        <v>95</v>
      </c>
    </row>
    <row r="458" spans="2:9">
      <c r="B458" s="2">
        <v>46214</v>
      </c>
      <c r="C458" s="13" t="s">
        <v>10</v>
      </c>
      <c r="D458" s="20">
        <v>19</v>
      </c>
      <c r="E458" s="20">
        <v>28.615384615384617</v>
      </c>
      <c r="F458" s="20">
        <v>25</v>
      </c>
      <c r="G458" s="20">
        <v>22.727272727272727</v>
      </c>
      <c r="H458" s="20">
        <v>95.342657342657333</v>
      </c>
      <c r="I458" s="21">
        <v>95</v>
      </c>
    </row>
    <row r="459" spans="2:9">
      <c r="B459" s="1">
        <v>46214</v>
      </c>
      <c r="C459" s="12" t="s">
        <v>17</v>
      </c>
      <c r="D459" s="18">
        <v>12.666666666666666</v>
      </c>
      <c r="E459" s="18">
        <v>23.846153846153847</v>
      </c>
      <c r="F459" s="18">
        <v>18.75</v>
      </c>
      <c r="G459" s="18">
        <v>20.454545454545457</v>
      </c>
      <c r="H459" s="18">
        <v>75.717365967365964</v>
      </c>
      <c r="I459" s="19">
        <v>95</v>
      </c>
    </row>
    <row r="460" spans="2:9">
      <c r="B460" s="2">
        <v>46221</v>
      </c>
      <c r="C460" s="13" t="s">
        <v>2</v>
      </c>
      <c r="D460" s="20">
        <v>19</v>
      </c>
      <c r="E460" s="20">
        <v>31</v>
      </c>
      <c r="F460" s="20">
        <v>18.75</v>
      </c>
      <c r="G460" s="20">
        <v>25</v>
      </c>
      <c r="H460" s="20">
        <v>93.75</v>
      </c>
      <c r="I460" s="21">
        <v>95</v>
      </c>
    </row>
    <row r="461" spans="2:9">
      <c r="B461" s="1">
        <v>46221</v>
      </c>
      <c r="C461" s="12" t="s">
        <v>5</v>
      </c>
      <c r="D461" s="18">
        <v>15.833333333333334</v>
      </c>
      <c r="E461" s="18">
        <v>23.846153846153847</v>
      </c>
      <c r="F461" s="18">
        <v>21.875</v>
      </c>
      <c r="G461" s="18">
        <v>22.727272727272727</v>
      </c>
      <c r="H461" s="18">
        <v>84.281759906759902</v>
      </c>
      <c r="I461" s="19">
        <v>95</v>
      </c>
    </row>
    <row r="462" spans="2:9">
      <c r="B462" s="2">
        <v>46221</v>
      </c>
      <c r="C462" s="13" t="s">
        <v>7</v>
      </c>
      <c r="D462" s="20">
        <v>15.833333333333334</v>
      </c>
      <c r="E462" s="20">
        <v>28.615384615384617</v>
      </c>
      <c r="F462" s="20">
        <v>18.75</v>
      </c>
      <c r="G462" s="20">
        <v>18.181818181818183</v>
      </c>
      <c r="H462" s="20">
        <v>81.380536130536129</v>
      </c>
      <c r="I462" s="21">
        <v>95</v>
      </c>
    </row>
    <row r="463" spans="2:9">
      <c r="B463" s="1">
        <v>46221</v>
      </c>
      <c r="C463" s="12" t="s">
        <v>11</v>
      </c>
      <c r="D463" s="18">
        <v>19</v>
      </c>
      <c r="E463" s="18">
        <v>28.615384615384617</v>
      </c>
      <c r="F463" s="18">
        <v>25</v>
      </c>
      <c r="G463" s="18">
        <v>25</v>
      </c>
      <c r="H463" s="18">
        <v>97.615384615384613</v>
      </c>
      <c r="I463" s="19">
        <v>95</v>
      </c>
    </row>
    <row r="464" spans="2:9">
      <c r="B464" s="2">
        <v>46221</v>
      </c>
      <c r="C464" s="13" t="s">
        <v>12</v>
      </c>
      <c r="D464" s="20">
        <v>19</v>
      </c>
      <c r="E464" s="20">
        <v>31</v>
      </c>
      <c r="F464" s="20">
        <v>25</v>
      </c>
      <c r="G464" s="20">
        <v>25</v>
      </c>
      <c r="H464" s="20">
        <v>100</v>
      </c>
      <c r="I464" s="21">
        <v>95</v>
      </c>
    </row>
    <row r="465" spans="2:9">
      <c r="B465" s="1">
        <v>46221</v>
      </c>
      <c r="C465" s="12" t="s">
        <v>9</v>
      </c>
      <c r="D465" s="18">
        <v>19</v>
      </c>
      <c r="E465" s="18">
        <v>31</v>
      </c>
      <c r="F465" s="18">
        <v>25</v>
      </c>
      <c r="G465" s="18">
        <v>22.727272727272727</v>
      </c>
      <c r="H465" s="18">
        <v>97.72727272727272</v>
      </c>
      <c r="I465" s="19">
        <v>95</v>
      </c>
    </row>
    <row r="466" spans="2:9">
      <c r="B466" s="2">
        <v>46221</v>
      </c>
      <c r="C466" s="13" t="s">
        <v>13</v>
      </c>
      <c r="D466" s="20">
        <v>19</v>
      </c>
      <c r="E466" s="20">
        <v>28.615384615384617</v>
      </c>
      <c r="F466" s="20">
        <v>21.875</v>
      </c>
      <c r="G466" s="20">
        <v>25</v>
      </c>
      <c r="H466" s="20">
        <v>94.490384615384613</v>
      </c>
      <c r="I466" s="21">
        <v>95</v>
      </c>
    </row>
    <row r="467" spans="2:9">
      <c r="B467" s="1">
        <v>46221</v>
      </c>
      <c r="C467" s="12" t="s">
        <v>6</v>
      </c>
      <c r="D467" s="18">
        <v>12.666666666666666</v>
      </c>
      <c r="E467" s="18">
        <v>31</v>
      </c>
      <c r="F467" s="18">
        <v>21.875</v>
      </c>
      <c r="G467" s="18">
        <v>22.727272727272727</v>
      </c>
      <c r="H467" s="18">
        <v>88.268939393939377</v>
      </c>
      <c r="I467" s="19">
        <v>95</v>
      </c>
    </row>
    <row r="468" spans="2:9">
      <c r="B468" s="2">
        <v>46221</v>
      </c>
      <c r="C468" s="13" t="s">
        <v>14</v>
      </c>
      <c r="D468" s="20">
        <v>19</v>
      </c>
      <c r="E468" s="20">
        <v>28.615384615384617</v>
      </c>
      <c r="F468" s="20">
        <v>18.75</v>
      </c>
      <c r="G468" s="20">
        <v>25</v>
      </c>
      <c r="H468" s="20">
        <v>91.365384615384613</v>
      </c>
      <c r="I468" s="21">
        <v>95</v>
      </c>
    </row>
    <row r="469" spans="2:9">
      <c r="B469" s="1">
        <v>46221</v>
      </c>
      <c r="C469" s="12" t="s">
        <v>4</v>
      </c>
      <c r="D469" s="18">
        <v>12.666666666666666</v>
      </c>
      <c r="E469" s="18">
        <v>28.615384615384617</v>
      </c>
      <c r="F469" s="18">
        <v>15.625</v>
      </c>
      <c r="G469" s="18">
        <v>22.727272727272727</v>
      </c>
      <c r="H469" s="18">
        <v>79.634324009324018</v>
      </c>
      <c r="I469" s="19">
        <v>95</v>
      </c>
    </row>
    <row r="470" spans="2:9">
      <c r="B470" s="2">
        <v>46221</v>
      </c>
      <c r="C470" s="13" t="s">
        <v>8</v>
      </c>
      <c r="D470" s="20">
        <v>12.666666666666666</v>
      </c>
      <c r="E470" s="20">
        <v>26.23076923076923</v>
      </c>
      <c r="F470" s="20">
        <v>15.625</v>
      </c>
      <c r="G470" s="20">
        <v>22.727272727272727</v>
      </c>
      <c r="H470" s="20">
        <v>77.249708624708632</v>
      </c>
      <c r="I470" s="21">
        <v>95</v>
      </c>
    </row>
    <row r="471" spans="2:9">
      <c r="B471" s="1">
        <v>46221</v>
      </c>
      <c r="C471" s="12" t="s">
        <v>15</v>
      </c>
      <c r="D471" s="18">
        <v>19</v>
      </c>
      <c r="E471" s="18">
        <v>31</v>
      </c>
      <c r="F471" s="18">
        <v>25</v>
      </c>
      <c r="G471" s="18">
        <v>25</v>
      </c>
      <c r="H471" s="18">
        <v>100</v>
      </c>
      <c r="I471" s="19">
        <v>95</v>
      </c>
    </row>
    <row r="472" spans="2:9">
      <c r="B472" s="2">
        <v>46221</v>
      </c>
      <c r="C472" s="13" t="s">
        <v>16</v>
      </c>
      <c r="D472" s="20">
        <v>19</v>
      </c>
      <c r="E472" s="20">
        <v>28.615384615384617</v>
      </c>
      <c r="F472" s="20">
        <v>25</v>
      </c>
      <c r="G472" s="20">
        <v>25</v>
      </c>
      <c r="H472" s="20">
        <v>97.615384615384613</v>
      </c>
      <c r="I472" s="21">
        <v>95</v>
      </c>
    </row>
    <row r="473" spans="2:9">
      <c r="B473" s="1">
        <v>46221</v>
      </c>
      <c r="C473" s="12" t="s">
        <v>18</v>
      </c>
      <c r="D473" s="18">
        <v>19</v>
      </c>
      <c r="E473" s="18">
        <v>31</v>
      </c>
      <c r="F473" s="18">
        <v>25</v>
      </c>
      <c r="G473" s="18">
        <v>25</v>
      </c>
      <c r="H473" s="18">
        <v>100</v>
      </c>
      <c r="I473" s="19">
        <v>95</v>
      </c>
    </row>
    <row r="474" spans="2:9">
      <c r="B474" s="2">
        <v>46221</v>
      </c>
      <c r="C474" s="13" t="s">
        <v>19</v>
      </c>
      <c r="D474" s="20">
        <v>19</v>
      </c>
      <c r="E474" s="20">
        <v>28.615384615384617</v>
      </c>
      <c r="F474" s="20">
        <v>21.875</v>
      </c>
      <c r="G474" s="20">
        <v>25</v>
      </c>
      <c r="H474" s="20">
        <v>94.490384615384613</v>
      </c>
      <c r="I474" s="21">
        <v>95</v>
      </c>
    </row>
    <row r="475" spans="2:9">
      <c r="B475" s="1">
        <v>46221</v>
      </c>
      <c r="C475" s="12" t="s">
        <v>10</v>
      </c>
      <c r="D475" s="18">
        <v>19</v>
      </c>
      <c r="E475" s="18">
        <v>31</v>
      </c>
      <c r="F475" s="18">
        <v>25</v>
      </c>
      <c r="G475" s="18">
        <v>25</v>
      </c>
      <c r="H475" s="18">
        <v>100</v>
      </c>
      <c r="I475" s="19">
        <v>95</v>
      </c>
    </row>
    <row r="476" spans="2:9">
      <c r="B476" s="2">
        <v>46221</v>
      </c>
      <c r="C476" s="13" t="s">
        <v>17</v>
      </c>
      <c r="D476" s="20">
        <v>15.833333333333334</v>
      </c>
      <c r="E476" s="20">
        <v>23.846153846153847</v>
      </c>
      <c r="F476" s="20">
        <v>18.75</v>
      </c>
      <c r="G476" s="20">
        <v>18.181818181818183</v>
      </c>
      <c r="H476" s="20">
        <v>76.611305361305369</v>
      </c>
      <c r="I476" s="21">
        <v>95</v>
      </c>
    </row>
    <row r="477" spans="2:9">
      <c r="B477" s="1">
        <v>46228</v>
      </c>
      <c r="C477" s="12" t="s">
        <v>2</v>
      </c>
      <c r="D477" s="18">
        <v>19</v>
      </c>
      <c r="E477" s="18">
        <v>31</v>
      </c>
      <c r="F477" s="18">
        <v>18.75</v>
      </c>
      <c r="G477" s="18">
        <v>25</v>
      </c>
      <c r="H477" s="18">
        <v>93.75</v>
      </c>
      <c r="I477" s="19">
        <v>95</v>
      </c>
    </row>
    <row r="478" spans="2:9">
      <c r="B478" s="2">
        <v>46228</v>
      </c>
      <c r="C478" s="13" t="s">
        <v>5</v>
      </c>
      <c r="D478" s="20">
        <v>15.833333333333334</v>
      </c>
      <c r="E478" s="20">
        <v>28.615384615384617</v>
      </c>
      <c r="F478" s="20">
        <v>18.75</v>
      </c>
      <c r="G478" s="20">
        <v>20.454545454545457</v>
      </c>
      <c r="H478" s="20">
        <v>83.653263403263409</v>
      </c>
      <c r="I478" s="21">
        <v>95</v>
      </c>
    </row>
    <row r="479" spans="2:9">
      <c r="B479" s="1">
        <v>46228</v>
      </c>
      <c r="C479" s="12" t="s">
        <v>7</v>
      </c>
      <c r="D479" s="18">
        <v>12.666666666666666</v>
      </c>
      <c r="E479" s="18">
        <v>31</v>
      </c>
      <c r="F479" s="18">
        <v>21.875</v>
      </c>
      <c r="G479" s="18">
        <v>22.727272727272727</v>
      </c>
      <c r="H479" s="18">
        <v>88.268939393939377</v>
      </c>
      <c r="I479" s="19">
        <v>95</v>
      </c>
    </row>
    <row r="480" spans="2:9">
      <c r="B480" s="2">
        <v>46228</v>
      </c>
      <c r="C480" s="13" t="s">
        <v>11</v>
      </c>
      <c r="D480" s="20">
        <v>19</v>
      </c>
      <c r="E480" s="20">
        <v>31</v>
      </c>
      <c r="F480" s="20">
        <v>21.875</v>
      </c>
      <c r="G480" s="20">
        <v>25</v>
      </c>
      <c r="H480" s="20">
        <v>96.875</v>
      </c>
      <c r="I480" s="21">
        <v>95</v>
      </c>
    </row>
    <row r="481" spans="2:9">
      <c r="B481" s="1">
        <v>46228</v>
      </c>
      <c r="C481" s="12" t="s">
        <v>12</v>
      </c>
      <c r="D481" s="18">
        <v>19</v>
      </c>
      <c r="E481" s="18">
        <v>31</v>
      </c>
      <c r="F481" s="18">
        <v>25</v>
      </c>
      <c r="G481" s="18">
        <v>25</v>
      </c>
      <c r="H481" s="18">
        <v>100</v>
      </c>
      <c r="I481" s="19">
        <v>95</v>
      </c>
    </row>
    <row r="482" spans="2:9">
      <c r="B482" s="2">
        <v>46228</v>
      </c>
      <c r="C482" s="13" t="s">
        <v>9</v>
      </c>
      <c r="D482" s="20">
        <v>19</v>
      </c>
      <c r="E482" s="20">
        <v>31</v>
      </c>
      <c r="F482" s="20">
        <v>25</v>
      </c>
      <c r="G482" s="20">
        <v>25</v>
      </c>
      <c r="H482" s="20">
        <v>100</v>
      </c>
      <c r="I482" s="21">
        <v>95</v>
      </c>
    </row>
    <row r="483" spans="2:9">
      <c r="B483" s="1">
        <v>46228</v>
      </c>
      <c r="C483" s="12" t="s">
        <v>13</v>
      </c>
      <c r="D483" s="18">
        <v>15.833333333333334</v>
      </c>
      <c r="E483" s="18">
        <v>28.615384615384617</v>
      </c>
      <c r="F483" s="18">
        <v>21.875</v>
      </c>
      <c r="G483" s="18">
        <v>20.454545454545457</v>
      </c>
      <c r="H483" s="18">
        <v>86.778263403263409</v>
      </c>
      <c r="I483" s="19">
        <v>95</v>
      </c>
    </row>
    <row r="484" spans="2:9">
      <c r="B484" s="2">
        <v>46228</v>
      </c>
      <c r="C484" s="13" t="s">
        <v>6</v>
      </c>
      <c r="D484" s="20">
        <v>15.833333333333334</v>
      </c>
      <c r="E484" s="20">
        <v>31</v>
      </c>
      <c r="F484" s="20">
        <v>25</v>
      </c>
      <c r="G484" s="20">
        <v>25</v>
      </c>
      <c r="H484" s="20">
        <v>96.833333333333343</v>
      </c>
      <c r="I484" s="21">
        <v>95</v>
      </c>
    </row>
    <row r="485" spans="2:9">
      <c r="B485" s="1">
        <v>46228</v>
      </c>
      <c r="C485" s="12" t="s">
        <v>14</v>
      </c>
      <c r="D485" s="18">
        <v>15.833333333333334</v>
      </c>
      <c r="E485" s="18">
        <v>23.846153846153847</v>
      </c>
      <c r="F485" s="18">
        <v>21.875</v>
      </c>
      <c r="G485" s="18">
        <v>20.454545454545457</v>
      </c>
      <c r="H485" s="18">
        <v>82.009032634032636</v>
      </c>
      <c r="I485" s="19">
        <v>95</v>
      </c>
    </row>
    <row r="486" spans="2:9">
      <c r="B486" s="2">
        <v>46228</v>
      </c>
      <c r="C486" s="13" t="s">
        <v>4</v>
      </c>
      <c r="D486" s="20">
        <v>15.833333333333334</v>
      </c>
      <c r="E486" s="20">
        <v>26.23076923076923</v>
      </c>
      <c r="F486" s="20">
        <v>15.625</v>
      </c>
      <c r="G486" s="20">
        <v>25</v>
      </c>
      <c r="H486" s="20">
        <v>82.689102564102569</v>
      </c>
      <c r="I486" s="21">
        <v>95</v>
      </c>
    </row>
    <row r="487" spans="2:9">
      <c r="B487" s="1">
        <v>46228</v>
      </c>
      <c r="C487" s="12" t="s">
        <v>8</v>
      </c>
      <c r="D487" s="18">
        <v>12.666666666666666</v>
      </c>
      <c r="E487" s="18">
        <v>26.23076923076923</v>
      </c>
      <c r="F487" s="18">
        <v>18.75</v>
      </c>
      <c r="G487" s="18">
        <v>20.454545454545457</v>
      </c>
      <c r="H487" s="18">
        <v>78.101981351981351</v>
      </c>
      <c r="I487" s="19">
        <v>95</v>
      </c>
    </row>
    <row r="488" spans="2:9">
      <c r="B488" s="2">
        <v>46228</v>
      </c>
      <c r="C488" s="13" t="s">
        <v>15</v>
      </c>
      <c r="D488" s="20">
        <v>19</v>
      </c>
      <c r="E488" s="20">
        <v>31</v>
      </c>
      <c r="F488" s="20">
        <v>25</v>
      </c>
      <c r="G488" s="20">
        <v>25</v>
      </c>
      <c r="H488" s="20">
        <v>100</v>
      </c>
      <c r="I488" s="21">
        <v>95</v>
      </c>
    </row>
    <row r="489" spans="2:9">
      <c r="B489" s="1">
        <v>46228</v>
      </c>
      <c r="C489" s="12" t="s">
        <v>16</v>
      </c>
      <c r="D489" s="18">
        <v>19</v>
      </c>
      <c r="E489" s="18">
        <v>31</v>
      </c>
      <c r="F489" s="18">
        <v>21.875</v>
      </c>
      <c r="G489" s="18">
        <v>25</v>
      </c>
      <c r="H489" s="18">
        <v>96.875</v>
      </c>
      <c r="I489" s="19">
        <v>95</v>
      </c>
    </row>
    <row r="490" spans="2:9">
      <c r="B490" s="2">
        <v>46228</v>
      </c>
      <c r="C490" s="13" t="s">
        <v>18</v>
      </c>
      <c r="D490" s="20">
        <v>19</v>
      </c>
      <c r="E490" s="20">
        <v>31</v>
      </c>
      <c r="F490" s="20">
        <v>25</v>
      </c>
      <c r="G490" s="20">
        <v>25</v>
      </c>
      <c r="H490" s="20">
        <v>100</v>
      </c>
      <c r="I490" s="21">
        <v>95</v>
      </c>
    </row>
    <row r="491" spans="2:9">
      <c r="B491" s="1">
        <v>46228</v>
      </c>
      <c r="C491" s="12" t="s">
        <v>19</v>
      </c>
      <c r="D491" s="18">
        <v>19</v>
      </c>
      <c r="E491" s="18">
        <v>31</v>
      </c>
      <c r="F491" s="18">
        <v>21.875</v>
      </c>
      <c r="G491" s="18">
        <v>25</v>
      </c>
      <c r="H491" s="18">
        <v>96.875</v>
      </c>
      <c r="I491" s="19">
        <v>95</v>
      </c>
    </row>
    <row r="492" spans="2:9">
      <c r="B492" s="2">
        <v>46228</v>
      </c>
      <c r="C492" s="13" t="s">
        <v>10</v>
      </c>
      <c r="D492" s="20">
        <v>19</v>
      </c>
      <c r="E492" s="20">
        <v>28.615384615384617</v>
      </c>
      <c r="F492" s="20">
        <v>25</v>
      </c>
      <c r="G492" s="20">
        <v>22.727272727272727</v>
      </c>
      <c r="H492" s="20">
        <v>95.342657342657333</v>
      </c>
      <c r="I492" s="21">
        <v>95</v>
      </c>
    </row>
    <row r="493" spans="2:9">
      <c r="B493" s="1">
        <v>46228</v>
      </c>
      <c r="C493" s="12" t="s">
        <v>17</v>
      </c>
      <c r="D493" s="18">
        <v>12.666666666666666</v>
      </c>
      <c r="E493" s="18">
        <v>26.23076923076923</v>
      </c>
      <c r="F493" s="18">
        <v>21.875</v>
      </c>
      <c r="G493" s="18">
        <v>20.454545454545457</v>
      </c>
      <c r="H493" s="18">
        <v>81.226981351981351</v>
      </c>
      <c r="I493" s="19">
        <v>95</v>
      </c>
    </row>
    <row r="494" spans="2:9">
      <c r="B494" s="2">
        <v>46235</v>
      </c>
      <c r="C494" s="13" t="s">
        <v>2</v>
      </c>
      <c r="D494" s="20">
        <v>19</v>
      </c>
      <c r="E494" s="20">
        <v>31</v>
      </c>
      <c r="F494" s="20">
        <v>18.75</v>
      </c>
      <c r="G494" s="20">
        <v>25</v>
      </c>
      <c r="H494" s="20">
        <v>93.75</v>
      </c>
      <c r="I494" s="21">
        <v>95</v>
      </c>
    </row>
    <row r="495" spans="2:9">
      <c r="B495" s="1">
        <v>46235</v>
      </c>
      <c r="C495" s="12" t="s">
        <v>5</v>
      </c>
      <c r="D495" s="18">
        <v>15.833333333333334</v>
      </c>
      <c r="E495" s="18">
        <v>31</v>
      </c>
      <c r="F495" s="18">
        <v>18.75</v>
      </c>
      <c r="G495" s="18">
        <v>25</v>
      </c>
      <c r="H495" s="18">
        <v>90.583333333333343</v>
      </c>
      <c r="I495" s="19">
        <v>95</v>
      </c>
    </row>
    <row r="496" spans="2:9">
      <c r="B496" s="2">
        <v>46235</v>
      </c>
      <c r="C496" s="13" t="s">
        <v>7</v>
      </c>
      <c r="D496" s="20">
        <v>12.666666666666666</v>
      </c>
      <c r="E496" s="20">
        <v>31</v>
      </c>
      <c r="F496" s="20">
        <v>18.75</v>
      </c>
      <c r="G496" s="20">
        <v>25</v>
      </c>
      <c r="H496" s="20">
        <v>87.416666666666657</v>
      </c>
      <c r="I496" s="21">
        <v>95</v>
      </c>
    </row>
    <row r="497" spans="2:9">
      <c r="B497" s="1">
        <v>46235</v>
      </c>
      <c r="C497" s="12" t="s">
        <v>11</v>
      </c>
      <c r="D497" s="18">
        <v>15.833333333333334</v>
      </c>
      <c r="E497" s="18">
        <v>31</v>
      </c>
      <c r="F497" s="18">
        <v>25</v>
      </c>
      <c r="G497" s="18">
        <v>22.727272727272727</v>
      </c>
      <c r="H497" s="18">
        <v>94.560606060606062</v>
      </c>
      <c r="I497" s="19">
        <v>95</v>
      </c>
    </row>
    <row r="498" spans="2:9">
      <c r="B498" s="2">
        <v>46235</v>
      </c>
      <c r="C498" s="13" t="s">
        <v>12</v>
      </c>
      <c r="D498" s="20">
        <v>19</v>
      </c>
      <c r="E498" s="20">
        <v>28.615384615384617</v>
      </c>
      <c r="F498" s="20">
        <v>25</v>
      </c>
      <c r="G498" s="20">
        <v>25</v>
      </c>
      <c r="H498" s="20">
        <v>97.615384615384613</v>
      </c>
      <c r="I498" s="21">
        <v>95</v>
      </c>
    </row>
    <row r="499" spans="2:9">
      <c r="B499" s="1">
        <v>46235</v>
      </c>
      <c r="C499" s="12" t="s">
        <v>9</v>
      </c>
      <c r="D499" s="18">
        <v>19</v>
      </c>
      <c r="E499" s="18">
        <v>31</v>
      </c>
      <c r="F499" s="18">
        <v>25</v>
      </c>
      <c r="G499" s="18">
        <v>25</v>
      </c>
      <c r="H499" s="18">
        <v>100</v>
      </c>
      <c r="I499" s="19">
        <v>95</v>
      </c>
    </row>
    <row r="500" spans="2:9">
      <c r="B500" s="2">
        <v>46235</v>
      </c>
      <c r="C500" s="13" t="s">
        <v>13</v>
      </c>
      <c r="D500" s="20">
        <v>15.833333333333334</v>
      </c>
      <c r="E500" s="20">
        <v>28.615384615384617</v>
      </c>
      <c r="F500" s="20">
        <v>21.875</v>
      </c>
      <c r="G500" s="20">
        <v>20.454545454545457</v>
      </c>
      <c r="H500" s="20">
        <v>86.778263403263409</v>
      </c>
      <c r="I500" s="21">
        <v>95</v>
      </c>
    </row>
    <row r="501" spans="2:9">
      <c r="B501" s="1">
        <v>46235</v>
      </c>
      <c r="C501" s="12" t="s">
        <v>6</v>
      </c>
      <c r="D501" s="18">
        <v>19</v>
      </c>
      <c r="E501" s="18">
        <v>31</v>
      </c>
      <c r="F501" s="18">
        <v>18.75</v>
      </c>
      <c r="G501" s="18">
        <v>25</v>
      </c>
      <c r="H501" s="18">
        <v>93.75</v>
      </c>
      <c r="I501" s="19">
        <v>95</v>
      </c>
    </row>
    <row r="502" spans="2:9">
      <c r="B502" s="2">
        <v>46235</v>
      </c>
      <c r="C502" s="13" t="s">
        <v>14</v>
      </c>
      <c r="D502" s="20">
        <v>15.833333333333334</v>
      </c>
      <c r="E502" s="20">
        <v>26.23076923076923</v>
      </c>
      <c r="F502" s="20">
        <v>18.75</v>
      </c>
      <c r="G502" s="20">
        <v>22.727272727272727</v>
      </c>
      <c r="H502" s="20">
        <v>83.541375291375289</v>
      </c>
      <c r="I502" s="21">
        <v>95</v>
      </c>
    </row>
    <row r="503" spans="2:9">
      <c r="B503" s="1">
        <v>46235</v>
      </c>
      <c r="C503" s="12" t="s">
        <v>4</v>
      </c>
      <c r="D503" s="18">
        <v>19</v>
      </c>
      <c r="E503" s="18">
        <v>31</v>
      </c>
      <c r="F503" s="18">
        <v>18.75</v>
      </c>
      <c r="G503" s="18">
        <v>22.727272727272727</v>
      </c>
      <c r="H503" s="18">
        <v>91.47727272727272</v>
      </c>
      <c r="I503" s="19">
        <v>95</v>
      </c>
    </row>
    <row r="504" spans="2:9">
      <c r="B504" s="2">
        <v>46235</v>
      </c>
      <c r="C504" s="13" t="s">
        <v>8</v>
      </c>
      <c r="D504" s="20">
        <v>15.833333333333334</v>
      </c>
      <c r="E504" s="20">
        <v>31</v>
      </c>
      <c r="F504" s="20">
        <v>18.75</v>
      </c>
      <c r="G504" s="20">
        <v>25</v>
      </c>
      <c r="H504" s="20">
        <v>90.583333333333343</v>
      </c>
      <c r="I504" s="21">
        <v>95</v>
      </c>
    </row>
    <row r="505" spans="2:9">
      <c r="B505" s="1">
        <v>46235</v>
      </c>
      <c r="C505" s="12" t="s">
        <v>15</v>
      </c>
      <c r="D505" s="18">
        <v>19</v>
      </c>
      <c r="E505" s="18">
        <v>31</v>
      </c>
      <c r="F505" s="18">
        <v>25</v>
      </c>
      <c r="G505" s="18">
        <v>25</v>
      </c>
      <c r="H505" s="18">
        <v>100</v>
      </c>
      <c r="I505" s="19">
        <v>95</v>
      </c>
    </row>
    <row r="506" spans="2:9">
      <c r="B506" s="2">
        <v>46235</v>
      </c>
      <c r="C506" s="13" t="s">
        <v>16</v>
      </c>
      <c r="D506" s="20">
        <v>19</v>
      </c>
      <c r="E506" s="20">
        <v>31</v>
      </c>
      <c r="F506" s="20">
        <v>25</v>
      </c>
      <c r="G506" s="20">
        <v>25</v>
      </c>
      <c r="H506" s="20">
        <v>100</v>
      </c>
      <c r="I506" s="21">
        <v>95</v>
      </c>
    </row>
    <row r="507" spans="2:9">
      <c r="B507" s="1">
        <v>46235</v>
      </c>
      <c r="C507" s="12" t="s">
        <v>18</v>
      </c>
      <c r="D507" s="18">
        <v>19</v>
      </c>
      <c r="E507" s="18">
        <v>31</v>
      </c>
      <c r="F507" s="18">
        <v>25</v>
      </c>
      <c r="G507" s="18">
        <v>25</v>
      </c>
      <c r="H507" s="18">
        <v>100</v>
      </c>
      <c r="I507" s="19">
        <v>95</v>
      </c>
    </row>
    <row r="508" spans="2:9">
      <c r="B508" s="2">
        <v>46235</v>
      </c>
      <c r="C508" s="13" t="s">
        <v>19</v>
      </c>
      <c r="D508" s="20">
        <v>19</v>
      </c>
      <c r="E508" s="20">
        <v>31</v>
      </c>
      <c r="F508" s="20">
        <v>25</v>
      </c>
      <c r="G508" s="20">
        <v>22.727272727272727</v>
      </c>
      <c r="H508" s="20">
        <v>97.72727272727272</v>
      </c>
      <c r="I508" s="21">
        <v>95</v>
      </c>
    </row>
    <row r="509" spans="2:9">
      <c r="B509" s="1">
        <v>46235</v>
      </c>
      <c r="C509" s="12" t="s">
        <v>10</v>
      </c>
      <c r="D509" s="18">
        <v>19</v>
      </c>
      <c r="E509" s="18">
        <v>31</v>
      </c>
      <c r="F509" s="18">
        <v>25</v>
      </c>
      <c r="G509" s="18">
        <v>25</v>
      </c>
      <c r="H509" s="18">
        <v>100</v>
      </c>
      <c r="I509" s="19">
        <v>95</v>
      </c>
    </row>
    <row r="510" spans="2:9">
      <c r="B510" s="2">
        <v>46235</v>
      </c>
      <c r="C510" s="13" t="s">
        <v>17</v>
      </c>
      <c r="D510" s="20">
        <v>15.833333333333334</v>
      </c>
      <c r="E510" s="20">
        <v>26.23076923076923</v>
      </c>
      <c r="F510" s="20">
        <v>25</v>
      </c>
      <c r="G510" s="20">
        <v>20.454545454545457</v>
      </c>
      <c r="H510" s="20">
        <v>87.518648018648022</v>
      </c>
      <c r="I510" s="21">
        <v>95</v>
      </c>
    </row>
    <row r="511" spans="2:9">
      <c r="B511" s="1">
        <v>46242</v>
      </c>
      <c r="C511" s="12" t="s">
        <v>2</v>
      </c>
      <c r="D511" s="18">
        <v>19</v>
      </c>
      <c r="E511" s="18">
        <v>28.615384615384617</v>
      </c>
      <c r="F511" s="18">
        <v>18.75</v>
      </c>
      <c r="G511" s="18">
        <v>25</v>
      </c>
      <c r="H511" s="18">
        <v>91.365384615384613</v>
      </c>
      <c r="I511" s="19">
        <v>95</v>
      </c>
    </row>
    <row r="512" spans="2:9">
      <c r="B512" s="2">
        <v>46242</v>
      </c>
      <c r="C512" s="13" t="s">
        <v>5</v>
      </c>
      <c r="D512" s="20">
        <v>15.833333333333334</v>
      </c>
      <c r="E512" s="20">
        <v>23.846153846153847</v>
      </c>
      <c r="F512" s="20">
        <v>25</v>
      </c>
      <c r="G512" s="20">
        <v>22.727272727272727</v>
      </c>
      <c r="H512" s="20">
        <v>87.406759906759902</v>
      </c>
      <c r="I512" s="21">
        <v>95</v>
      </c>
    </row>
    <row r="513" spans="2:9">
      <c r="B513" s="1">
        <v>46242</v>
      </c>
      <c r="C513" s="12" t="s">
        <v>7</v>
      </c>
      <c r="D513" s="18">
        <v>15.833333333333334</v>
      </c>
      <c r="E513" s="18">
        <v>28.615384615384617</v>
      </c>
      <c r="F513" s="18">
        <v>15.625</v>
      </c>
      <c r="G513" s="18">
        <v>20.454545454545457</v>
      </c>
      <c r="H513" s="18">
        <v>80.528263403263409</v>
      </c>
      <c r="I513" s="19">
        <v>95</v>
      </c>
    </row>
    <row r="514" spans="2:9">
      <c r="B514" s="2">
        <v>46242</v>
      </c>
      <c r="C514" s="13" t="s">
        <v>11</v>
      </c>
      <c r="D514" s="20">
        <v>12.666666666666666</v>
      </c>
      <c r="E514" s="20">
        <v>31</v>
      </c>
      <c r="F514" s="20">
        <v>25</v>
      </c>
      <c r="G514" s="20">
        <v>25</v>
      </c>
      <c r="H514" s="20">
        <v>93.666666666666657</v>
      </c>
      <c r="I514" s="21">
        <v>95</v>
      </c>
    </row>
    <row r="515" spans="2:9">
      <c r="B515" s="1">
        <v>46242</v>
      </c>
      <c r="C515" s="12" t="s">
        <v>12</v>
      </c>
      <c r="D515" s="18">
        <v>19</v>
      </c>
      <c r="E515" s="18">
        <v>31</v>
      </c>
      <c r="F515" s="18">
        <v>25</v>
      </c>
      <c r="G515" s="18">
        <v>25</v>
      </c>
      <c r="H515" s="18">
        <v>100</v>
      </c>
      <c r="I515" s="19">
        <v>95</v>
      </c>
    </row>
    <row r="516" spans="2:9">
      <c r="B516" s="2">
        <v>46242</v>
      </c>
      <c r="C516" s="13" t="s">
        <v>9</v>
      </c>
      <c r="D516" s="20">
        <v>15.833333333333334</v>
      </c>
      <c r="E516" s="20">
        <v>28.785714285714288</v>
      </c>
      <c r="F516" s="20">
        <v>25</v>
      </c>
      <c r="G516" s="20">
        <v>25</v>
      </c>
      <c r="H516" s="20">
        <v>94.61904761904762</v>
      </c>
      <c r="I516" s="21">
        <v>95</v>
      </c>
    </row>
    <row r="517" spans="2:9">
      <c r="B517" s="1">
        <v>46242</v>
      </c>
      <c r="C517" s="12" t="s">
        <v>13</v>
      </c>
      <c r="D517" s="18">
        <v>19</v>
      </c>
      <c r="E517" s="18">
        <v>28.615384615384617</v>
      </c>
      <c r="F517" s="18">
        <v>21.875</v>
      </c>
      <c r="G517" s="18">
        <v>20.454545454545457</v>
      </c>
      <c r="H517" s="18">
        <v>89.944930069930066</v>
      </c>
      <c r="I517" s="19">
        <v>95</v>
      </c>
    </row>
    <row r="518" spans="2:9">
      <c r="B518" s="2">
        <v>46242</v>
      </c>
      <c r="C518" s="13" t="s">
        <v>6</v>
      </c>
      <c r="D518" s="20">
        <v>15.833333333333334</v>
      </c>
      <c r="E518" s="20">
        <v>28.615384615384617</v>
      </c>
      <c r="F518" s="20">
        <v>25</v>
      </c>
      <c r="G518" s="20">
        <v>25</v>
      </c>
      <c r="H518" s="20">
        <v>94.448717948717956</v>
      </c>
      <c r="I518" s="21">
        <v>95</v>
      </c>
    </row>
    <row r="519" spans="2:9">
      <c r="B519" s="1">
        <v>46242</v>
      </c>
      <c r="C519" s="12" t="s">
        <v>14</v>
      </c>
      <c r="D519" s="18">
        <v>19</v>
      </c>
      <c r="E519" s="18">
        <v>31</v>
      </c>
      <c r="F519" s="18">
        <v>21.875</v>
      </c>
      <c r="G519" s="18">
        <v>25</v>
      </c>
      <c r="H519" s="18">
        <v>96.875</v>
      </c>
      <c r="I519" s="19">
        <v>95</v>
      </c>
    </row>
    <row r="520" spans="2:9">
      <c r="B520" s="2">
        <v>46242</v>
      </c>
      <c r="C520" s="13" t="s">
        <v>4</v>
      </c>
      <c r="D520" s="20">
        <v>15.833333333333334</v>
      </c>
      <c r="E520" s="20">
        <v>31</v>
      </c>
      <c r="F520" s="20">
        <v>21.875</v>
      </c>
      <c r="G520" s="20">
        <v>22.727272727272727</v>
      </c>
      <c r="H520" s="20">
        <v>91.435606060606062</v>
      </c>
      <c r="I520" s="21">
        <v>95</v>
      </c>
    </row>
    <row r="521" spans="2:9">
      <c r="B521" s="1">
        <v>46242</v>
      </c>
      <c r="C521" s="12" t="s">
        <v>8</v>
      </c>
      <c r="D521" s="18">
        <v>15.833333333333334</v>
      </c>
      <c r="E521" s="18">
        <v>28.615384615384617</v>
      </c>
      <c r="F521" s="18">
        <v>18.75</v>
      </c>
      <c r="G521" s="18">
        <v>25</v>
      </c>
      <c r="H521" s="18">
        <v>88.198717948717956</v>
      </c>
      <c r="I521" s="19">
        <v>95</v>
      </c>
    </row>
    <row r="522" spans="2:9">
      <c r="B522" s="2">
        <v>46242</v>
      </c>
      <c r="C522" s="13" t="s">
        <v>15</v>
      </c>
      <c r="D522" s="20">
        <v>19</v>
      </c>
      <c r="E522" s="20">
        <v>31</v>
      </c>
      <c r="F522" s="20">
        <v>21.875</v>
      </c>
      <c r="G522" s="20">
        <v>25</v>
      </c>
      <c r="H522" s="20">
        <v>96.875</v>
      </c>
      <c r="I522" s="21">
        <v>95</v>
      </c>
    </row>
    <row r="523" spans="2:9">
      <c r="B523" s="1">
        <v>46242</v>
      </c>
      <c r="C523" s="12" t="s">
        <v>16</v>
      </c>
      <c r="D523" s="18">
        <v>19</v>
      </c>
      <c r="E523" s="18">
        <v>31</v>
      </c>
      <c r="F523" s="18">
        <v>25</v>
      </c>
      <c r="G523" s="18">
        <v>25</v>
      </c>
      <c r="H523" s="18">
        <v>100</v>
      </c>
      <c r="I523" s="19">
        <v>95</v>
      </c>
    </row>
    <row r="524" spans="2:9">
      <c r="B524" s="2">
        <v>46242</v>
      </c>
      <c r="C524" s="13" t="s">
        <v>18</v>
      </c>
      <c r="D524" s="20">
        <v>19</v>
      </c>
      <c r="E524" s="20">
        <v>31</v>
      </c>
      <c r="F524" s="20">
        <v>25</v>
      </c>
      <c r="G524" s="20">
        <v>25</v>
      </c>
      <c r="H524" s="20">
        <v>100</v>
      </c>
      <c r="I524" s="21">
        <v>95</v>
      </c>
    </row>
    <row r="525" spans="2:9">
      <c r="B525" s="1">
        <v>46242</v>
      </c>
      <c r="C525" s="12" t="s">
        <v>19</v>
      </c>
      <c r="D525" s="18">
        <v>19</v>
      </c>
      <c r="E525" s="18">
        <v>31</v>
      </c>
      <c r="F525" s="18">
        <v>25</v>
      </c>
      <c r="G525" s="18">
        <v>22.727272727272727</v>
      </c>
      <c r="H525" s="18">
        <v>97.72727272727272</v>
      </c>
      <c r="I525" s="19">
        <v>95</v>
      </c>
    </row>
    <row r="526" spans="2:9">
      <c r="B526" s="2">
        <v>46242</v>
      </c>
      <c r="C526" s="13" t="s">
        <v>10</v>
      </c>
      <c r="D526" s="20">
        <v>19</v>
      </c>
      <c r="E526" s="20">
        <v>31</v>
      </c>
      <c r="F526" s="20">
        <v>25</v>
      </c>
      <c r="G526" s="20">
        <v>25</v>
      </c>
      <c r="H526" s="20">
        <v>100</v>
      </c>
      <c r="I526" s="21">
        <v>95</v>
      </c>
    </row>
    <row r="527" spans="2:9">
      <c r="B527" s="1">
        <v>46242</v>
      </c>
      <c r="C527" s="12" t="s">
        <v>17</v>
      </c>
      <c r="D527" s="18">
        <v>15.833333333333334</v>
      </c>
      <c r="E527" s="18">
        <v>26.23076923076923</v>
      </c>
      <c r="F527" s="18">
        <v>21.875</v>
      </c>
      <c r="G527" s="18">
        <v>20.454545454545457</v>
      </c>
      <c r="H527" s="18">
        <v>84.393648018648022</v>
      </c>
      <c r="I527" s="19">
        <v>95</v>
      </c>
    </row>
    <row r="528" spans="2:9">
      <c r="B528" s="2">
        <v>46249</v>
      </c>
      <c r="C528" s="13" t="s">
        <v>2</v>
      </c>
      <c r="D528" s="20">
        <v>15.833333333333334</v>
      </c>
      <c r="E528" s="20">
        <v>31</v>
      </c>
      <c r="F528" s="20">
        <v>18.75</v>
      </c>
      <c r="G528" s="20">
        <v>25</v>
      </c>
      <c r="H528" s="20">
        <v>90.583333333333343</v>
      </c>
      <c r="I528" s="21">
        <v>95</v>
      </c>
    </row>
    <row r="529" spans="2:9">
      <c r="B529" s="1">
        <v>46249</v>
      </c>
      <c r="C529" s="12" t="s">
        <v>5</v>
      </c>
      <c r="D529" s="18">
        <v>15.833333333333334</v>
      </c>
      <c r="E529" s="18">
        <v>23.846153846153847</v>
      </c>
      <c r="F529" s="18">
        <v>21.875</v>
      </c>
      <c r="G529" s="18">
        <v>18.181818181818183</v>
      </c>
      <c r="H529" s="18">
        <v>79.736305361305369</v>
      </c>
      <c r="I529" s="19">
        <v>95</v>
      </c>
    </row>
    <row r="530" spans="2:9">
      <c r="B530" s="2">
        <v>46249</v>
      </c>
      <c r="C530" s="13" t="s">
        <v>7</v>
      </c>
      <c r="D530" s="20">
        <v>15.833333333333334</v>
      </c>
      <c r="E530" s="20">
        <v>31</v>
      </c>
      <c r="F530" s="20">
        <v>18.75</v>
      </c>
      <c r="G530" s="20">
        <v>25</v>
      </c>
      <c r="H530" s="20">
        <v>90.583333333333343</v>
      </c>
      <c r="I530" s="21">
        <v>95</v>
      </c>
    </row>
    <row r="531" spans="2:9">
      <c r="B531" s="1">
        <v>46249</v>
      </c>
      <c r="C531" s="12" t="s">
        <v>11</v>
      </c>
      <c r="D531" s="18">
        <v>15.833333333333334</v>
      </c>
      <c r="E531" s="18">
        <v>28.615384615384617</v>
      </c>
      <c r="F531" s="18">
        <v>25</v>
      </c>
      <c r="G531" s="18">
        <v>25</v>
      </c>
      <c r="H531" s="18">
        <v>94.448717948717956</v>
      </c>
      <c r="I531" s="19">
        <v>95</v>
      </c>
    </row>
    <row r="532" spans="2:9">
      <c r="B532" s="2">
        <v>46249</v>
      </c>
      <c r="C532" s="13" t="s">
        <v>12</v>
      </c>
      <c r="D532" s="20">
        <v>19</v>
      </c>
      <c r="E532" s="20">
        <v>31</v>
      </c>
      <c r="F532" s="20">
        <v>25</v>
      </c>
      <c r="G532" s="20">
        <v>25</v>
      </c>
      <c r="H532" s="20">
        <v>100</v>
      </c>
      <c r="I532" s="21">
        <v>95</v>
      </c>
    </row>
    <row r="533" spans="2:9">
      <c r="B533" s="1">
        <v>46249</v>
      </c>
      <c r="C533" s="12" t="s">
        <v>9</v>
      </c>
      <c r="D533" s="18">
        <v>19</v>
      </c>
      <c r="E533" s="18">
        <v>31</v>
      </c>
      <c r="F533" s="18">
        <v>25</v>
      </c>
      <c r="G533" s="18">
        <v>25</v>
      </c>
      <c r="H533" s="18">
        <v>100</v>
      </c>
      <c r="I533" s="19">
        <v>95</v>
      </c>
    </row>
    <row r="534" spans="2:9">
      <c r="B534" s="2">
        <v>46249</v>
      </c>
      <c r="C534" s="13" t="s">
        <v>13</v>
      </c>
      <c r="D534" s="20">
        <v>19</v>
      </c>
      <c r="E534" s="20">
        <v>28.615384615384617</v>
      </c>
      <c r="F534" s="20">
        <v>25</v>
      </c>
      <c r="G534" s="20">
        <v>18.181818181818183</v>
      </c>
      <c r="H534" s="20">
        <v>90.7972027972028</v>
      </c>
      <c r="I534" s="21">
        <v>95</v>
      </c>
    </row>
    <row r="535" spans="2:9">
      <c r="B535" s="1">
        <v>46249</v>
      </c>
      <c r="C535" s="12" t="s">
        <v>6</v>
      </c>
      <c r="D535" s="18">
        <v>19</v>
      </c>
      <c r="E535" s="18">
        <v>31</v>
      </c>
      <c r="F535" s="18">
        <v>25</v>
      </c>
      <c r="G535" s="18">
        <v>22.727272727272727</v>
      </c>
      <c r="H535" s="18">
        <v>97.72727272727272</v>
      </c>
      <c r="I535" s="19">
        <v>95</v>
      </c>
    </row>
    <row r="536" spans="2:9">
      <c r="B536" s="2">
        <v>46249</v>
      </c>
      <c r="C536" s="13" t="s">
        <v>14</v>
      </c>
      <c r="D536" s="20">
        <v>15.833333333333334</v>
      </c>
      <c r="E536" s="20">
        <v>31</v>
      </c>
      <c r="F536" s="20">
        <v>21.875</v>
      </c>
      <c r="G536" s="20">
        <v>25</v>
      </c>
      <c r="H536" s="20">
        <v>93.708333333333343</v>
      </c>
      <c r="I536" s="21">
        <v>95</v>
      </c>
    </row>
    <row r="537" spans="2:9">
      <c r="B537" s="1">
        <v>46249</v>
      </c>
      <c r="C537" s="12" t="s">
        <v>4</v>
      </c>
      <c r="D537" s="18">
        <v>15.833333333333334</v>
      </c>
      <c r="E537" s="18">
        <v>31</v>
      </c>
      <c r="F537" s="18">
        <v>18.75</v>
      </c>
      <c r="G537" s="18">
        <v>25</v>
      </c>
      <c r="H537" s="18">
        <v>90.583333333333343</v>
      </c>
      <c r="I537" s="19">
        <v>95</v>
      </c>
    </row>
    <row r="538" spans="2:9">
      <c r="B538" s="2">
        <v>46249</v>
      </c>
      <c r="C538" s="13" t="s">
        <v>8</v>
      </c>
      <c r="D538" s="20">
        <v>15.833333333333334</v>
      </c>
      <c r="E538" s="20">
        <v>31</v>
      </c>
      <c r="F538" s="20">
        <v>18.75</v>
      </c>
      <c r="G538" s="20">
        <v>20.454545454545457</v>
      </c>
      <c r="H538" s="20">
        <v>86.037878787878796</v>
      </c>
      <c r="I538" s="21">
        <v>95</v>
      </c>
    </row>
    <row r="539" spans="2:9">
      <c r="B539" s="1">
        <v>46249</v>
      </c>
      <c r="C539" s="12" t="s">
        <v>15</v>
      </c>
      <c r="D539" s="18">
        <v>19</v>
      </c>
      <c r="E539" s="18">
        <v>31</v>
      </c>
      <c r="F539" s="18">
        <v>25</v>
      </c>
      <c r="G539" s="18">
        <v>25</v>
      </c>
      <c r="H539" s="18">
        <v>100</v>
      </c>
      <c r="I539" s="19">
        <v>95</v>
      </c>
    </row>
    <row r="540" spans="2:9">
      <c r="B540" s="2">
        <v>46249</v>
      </c>
      <c r="C540" s="13" t="s">
        <v>16</v>
      </c>
      <c r="D540" s="20">
        <v>19</v>
      </c>
      <c r="E540" s="20">
        <v>31</v>
      </c>
      <c r="F540" s="20">
        <v>21.875</v>
      </c>
      <c r="G540" s="20">
        <v>25</v>
      </c>
      <c r="H540" s="20">
        <v>96.875</v>
      </c>
      <c r="I540" s="21">
        <v>95</v>
      </c>
    </row>
    <row r="541" spans="2:9">
      <c r="B541" s="1">
        <v>46249</v>
      </c>
      <c r="C541" s="12" t="s">
        <v>18</v>
      </c>
      <c r="D541" s="18">
        <v>19</v>
      </c>
      <c r="E541" s="18">
        <v>31</v>
      </c>
      <c r="F541" s="18">
        <v>25</v>
      </c>
      <c r="G541" s="18">
        <v>25</v>
      </c>
      <c r="H541" s="18">
        <v>100</v>
      </c>
      <c r="I541" s="19">
        <v>95</v>
      </c>
    </row>
    <row r="542" spans="2:9">
      <c r="B542" s="2">
        <v>46249</v>
      </c>
      <c r="C542" s="13" t="s">
        <v>19</v>
      </c>
      <c r="D542" s="20">
        <v>19</v>
      </c>
      <c r="E542" s="20">
        <v>31</v>
      </c>
      <c r="F542" s="20">
        <v>25</v>
      </c>
      <c r="G542" s="20">
        <v>25</v>
      </c>
      <c r="H542" s="20">
        <v>100</v>
      </c>
      <c r="I542" s="21">
        <v>95</v>
      </c>
    </row>
    <row r="543" spans="2:9">
      <c r="B543" s="1">
        <v>46249</v>
      </c>
      <c r="C543" s="12" t="s">
        <v>10</v>
      </c>
      <c r="D543" s="18">
        <v>19</v>
      </c>
      <c r="E543" s="18">
        <v>31</v>
      </c>
      <c r="F543" s="18">
        <v>25</v>
      </c>
      <c r="G543" s="18">
        <v>20.454545454545457</v>
      </c>
      <c r="H543" s="18">
        <v>95.454545454545453</v>
      </c>
      <c r="I543" s="19">
        <v>95</v>
      </c>
    </row>
    <row r="544" spans="2:9">
      <c r="B544" s="2">
        <v>46249</v>
      </c>
      <c r="C544" s="13" t="s">
        <v>17</v>
      </c>
      <c r="D544" s="20">
        <v>15.833333333333334</v>
      </c>
      <c r="E544" s="20">
        <v>19.076923076923077</v>
      </c>
      <c r="F544" s="20">
        <v>25</v>
      </c>
      <c r="G544" s="20">
        <v>20.454545454545457</v>
      </c>
      <c r="H544" s="20">
        <v>80.364801864801862</v>
      </c>
      <c r="I544" s="21">
        <v>95</v>
      </c>
    </row>
    <row r="545" spans="2:9">
      <c r="B545" s="1">
        <v>46256</v>
      </c>
      <c r="C545" s="12" t="s">
        <v>2</v>
      </c>
      <c r="D545" s="18">
        <v>19</v>
      </c>
      <c r="E545" s="18">
        <v>31</v>
      </c>
      <c r="F545" s="18">
        <v>21.875</v>
      </c>
      <c r="G545" s="18">
        <v>25</v>
      </c>
      <c r="H545" s="18">
        <v>96.875</v>
      </c>
      <c r="I545" s="19">
        <v>95</v>
      </c>
    </row>
    <row r="546" spans="2:9">
      <c r="B546" s="2">
        <v>46256</v>
      </c>
      <c r="C546" s="13" t="s">
        <v>5</v>
      </c>
      <c r="D546" s="20">
        <v>15.833333333333334</v>
      </c>
      <c r="E546" s="20">
        <v>26.23076923076923</v>
      </c>
      <c r="F546" s="20">
        <v>25</v>
      </c>
      <c r="G546" s="20">
        <v>15.909090909090908</v>
      </c>
      <c r="H546" s="20">
        <v>82.973193473193476</v>
      </c>
      <c r="I546" s="21">
        <v>95</v>
      </c>
    </row>
    <row r="547" spans="2:9">
      <c r="B547" s="1">
        <v>46256</v>
      </c>
      <c r="C547" s="12" t="s">
        <v>7</v>
      </c>
      <c r="D547" s="18">
        <v>15.833333333333334</v>
      </c>
      <c r="E547" s="18">
        <v>31</v>
      </c>
      <c r="F547" s="18">
        <v>18.75</v>
      </c>
      <c r="G547" s="18">
        <v>20.454545454545457</v>
      </c>
      <c r="H547" s="18">
        <v>86.037878787878796</v>
      </c>
      <c r="I547" s="19">
        <v>95</v>
      </c>
    </row>
    <row r="548" spans="2:9">
      <c r="B548" s="2">
        <v>46256</v>
      </c>
      <c r="C548" s="13" t="s">
        <v>11</v>
      </c>
      <c r="D548" s="20">
        <v>12.666666666666666</v>
      </c>
      <c r="E548" s="20">
        <v>31</v>
      </c>
      <c r="F548" s="20">
        <v>25</v>
      </c>
      <c r="G548" s="20">
        <v>25</v>
      </c>
      <c r="H548" s="20">
        <v>93.666666666666657</v>
      </c>
      <c r="I548" s="21">
        <v>95</v>
      </c>
    </row>
    <row r="549" spans="2:9">
      <c r="B549" s="1">
        <v>46256</v>
      </c>
      <c r="C549" s="12" t="s">
        <v>12</v>
      </c>
      <c r="D549" s="18">
        <v>19</v>
      </c>
      <c r="E549" s="18">
        <v>31</v>
      </c>
      <c r="F549" s="18">
        <v>21.875</v>
      </c>
      <c r="G549" s="18">
        <v>22.727272727272727</v>
      </c>
      <c r="H549" s="18">
        <v>94.60227272727272</v>
      </c>
      <c r="I549" s="19">
        <v>95</v>
      </c>
    </row>
    <row r="550" spans="2:9">
      <c r="B550" s="2">
        <v>46256</v>
      </c>
      <c r="C550" s="13" t="s">
        <v>9</v>
      </c>
      <c r="D550" s="20">
        <v>19</v>
      </c>
      <c r="E550" s="20">
        <v>28.785714285714288</v>
      </c>
      <c r="F550" s="20">
        <v>25</v>
      </c>
      <c r="G550" s="20">
        <v>22.727272727272727</v>
      </c>
      <c r="H550" s="20">
        <v>95.512987012987026</v>
      </c>
      <c r="I550" s="21">
        <v>95</v>
      </c>
    </row>
    <row r="551" spans="2:9">
      <c r="B551" s="1">
        <v>46256</v>
      </c>
      <c r="C551" s="12" t="s">
        <v>13</v>
      </c>
      <c r="D551" s="18">
        <v>19</v>
      </c>
      <c r="E551" s="18">
        <v>31</v>
      </c>
      <c r="F551" s="18">
        <v>25</v>
      </c>
      <c r="G551" s="18">
        <v>25</v>
      </c>
      <c r="H551" s="18">
        <v>100</v>
      </c>
      <c r="I551" s="19">
        <v>95</v>
      </c>
    </row>
    <row r="552" spans="2:9">
      <c r="B552" s="2">
        <v>46256</v>
      </c>
      <c r="C552" s="13" t="s">
        <v>6</v>
      </c>
      <c r="D552" s="20">
        <v>12.666666666666666</v>
      </c>
      <c r="E552" s="20">
        <v>31</v>
      </c>
      <c r="F552" s="20">
        <v>21.875</v>
      </c>
      <c r="G552" s="20">
        <v>25</v>
      </c>
      <c r="H552" s="20">
        <v>90.541666666666657</v>
      </c>
      <c r="I552" s="21">
        <v>95</v>
      </c>
    </row>
    <row r="553" spans="2:9">
      <c r="B553" s="1">
        <v>46256</v>
      </c>
      <c r="C553" s="12" t="s">
        <v>14</v>
      </c>
      <c r="D553" s="18">
        <v>19</v>
      </c>
      <c r="E553" s="18">
        <v>28.615384615384617</v>
      </c>
      <c r="F553" s="18">
        <v>21.875</v>
      </c>
      <c r="G553" s="18">
        <v>25</v>
      </c>
      <c r="H553" s="18">
        <v>94.490384615384613</v>
      </c>
      <c r="I553" s="19">
        <v>95</v>
      </c>
    </row>
    <row r="554" spans="2:9">
      <c r="B554" s="2">
        <v>46256</v>
      </c>
      <c r="C554" s="13" t="s">
        <v>4</v>
      </c>
      <c r="D554" s="20">
        <v>12.666666666666666</v>
      </c>
      <c r="E554" s="20">
        <v>28.615384615384617</v>
      </c>
      <c r="F554" s="20">
        <v>18.75</v>
      </c>
      <c r="G554" s="20">
        <v>20.454545454545457</v>
      </c>
      <c r="H554" s="20">
        <v>80.486596736596738</v>
      </c>
      <c r="I554" s="21">
        <v>95</v>
      </c>
    </row>
    <row r="555" spans="2:9">
      <c r="B555" s="1">
        <v>46256</v>
      </c>
      <c r="C555" s="12" t="s">
        <v>8</v>
      </c>
      <c r="D555" s="18">
        <v>15.833333333333334</v>
      </c>
      <c r="E555" s="18">
        <v>26.23076923076923</v>
      </c>
      <c r="F555" s="18">
        <v>21.875</v>
      </c>
      <c r="G555" s="18">
        <v>25</v>
      </c>
      <c r="H555" s="18">
        <v>88.939102564102569</v>
      </c>
      <c r="I555" s="19">
        <v>95</v>
      </c>
    </row>
    <row r="556" spans="2:9">
      <c r="B556" s="2">
        <v>46256</v>
      </c>
      <c r="C556" s="13" t="s">
        <v>15</v>
      </c>
      <c r="D556" s="20">
        <v>19</v>
      </c>
      <c r="E556" s="20">
        <v>31</v>
      </c>
      <c r="F556" s="20">
        <v>25</v>
      </c>
      <c r="G556" s="20">
        <v>25</v>
      </c>
      <c r="H556" s="20">
        <v>100</v>
      </c>
      <c r="I556" s="21">
        <v>95</v>
      </c>
    </row>
    <row r="557" spans="2:9">
      <c r="B557" s="1">
        <v>46256</v>
      </c>
      <c r="C557" s="12" t="s">
        <v>16</v>
      </c>
      <c r="D557" s="18">
        <v>15.833333333333334</v>
      </c>
      <c r="E557" s="18">
        <v>28.615384615384617</v>
      </c>
      <c r="F557" s="18">
        <v>25</v>
      </c>
      <c r="G557" s="18">
        <v>25</v>
      </c>
      <c r="H557" s="18">
        <v>94.448717948717956</v>
      </c>
      <c r="I557" s="19">
        <v>95</v>
      </c>
    </row>
    <row r="558" spans="2:9">
      <c r="B558" s="2">
        <v>46256</v>
      </c>
      <c r="C558" s="13" t="s">
        <v>18</v>
      </c>
      <c r="D558" s="20">
        <v>19</v>
      </c>
      <c r="E558" s="20">
        <v>31</v>
      </c>
      <c r="F558" s="20">
        <v>25</v>
      </c>
      <c r="G558" s="20">
        <v>22.727272727272727</v>
      </c>
      <c r="H558" s="20">
        <v>97.72727272727272</v>
      </c>
      <c r="I558" s="21">
        <v>95</v>
      </c>
    </row>
    <row r="559" spans="2:9">
      <c r="B559" s="1">
        <v>46256</v>
      </c>
      <c r="C559" s="12" t="s">
        <v>19</v>
      </c>
      <c r="D559" s="18">
        <v>19</v>
      </c>
      <c r="E559" s="18">
        <v>31</v>
      </c>
      <c r="F559" s="18">
        <v>25</v>
      </c>
      <c r="G559" s="18">
        <v>25</v>
      </c>
      <c r="H559" s="18">
        <v>100</v>
      </c>
      <c r="I559" s="19">
        <v>95</v>
      </c>
    </row>
    <row r="560" spans="2:9">
      <c r="B560" s="2">
        <v>46256</v>
      </c>
      <c r="C560" s="13" t="s">
        <v>10</v>
      </c>
      <c r="D560" s="20">
        <v>19</v>
      </c>
      <c r="E560" s="20">
        <v>31</v>
      </c>
      <c r="F560" s="20">
        <v>25</v>
      </c>
      <c r="G560" s="20">
        <v>25</v>
      </c>
      <c r="H560" s="20">
        <v>100</v>
      </c>
      <c r="I560" s="21">
        <v>95</v>
      </c>
    </row>
    <row r="561" spans="2:9">
      <c r="B561" s="1">
        <v>46256</v>
      </c>
      <c r="C561" s="12" t="s">
        <v>17</v>
      </c>
      <c r="D561" s="18">
        <v>15.833333333333334</v>
      </c>
      <c r="E561" s="18">
        <v>23.846153846153847</v>
      </c>
      <c r="F561" s="18">
        <v>21.875</v>
      </c>
      <c r="G561" s="18">
        <v>18.181818181818183</v>
      </c>
      <c r="H561" s="18">
        <v>79.736305361305369</v>
      </c>
      <c r="I561" s="19">
        <v>95</v>
      </c>
    </row>
    <row r="562" spans="2:9">
      <c r="B562" s="2">
        <v>46263</v>
      </c>
      <c r="C562" s="13" t="s">
        <v>2</v>
      </c>
      <c r="D562" s="20">
        <v>15.833333333333334</v>
      </c>
      <c r="E562" s="20">
        <v>31</v>
      </c>
      <c r="F562" s="20">
        <v>21.875</v>
      </c>
      <c r="G562" s="20">
        <v>25</v>
      </c>
      <c r="H562" s="20">
        <v>93.708333333333343</v>
      </c>
      <c r="I562" s="21">
        <v>95</v>
      </c>
    </row>
    <row r="563" spans="2:9">
      <c r="B563" s="1">
        <v>46263</v>
      </c>
      <c r="C563" s="12" t="s">
        <v>5</v>
      </c>
      <c r="D563" s="18">
        <v>15.833333333333334</v>
      </c>
      <c r="E563" s="18">
        <v>31</v>
      </c>
      <c r="F563" s="18">
        <v>18.75</v>
      </c>
      <c r="G563" s="18">
        <v>20.454545454545457</v>
      </c>
      <c r="H563" s="18">
        <v>86.037878787878796</v>
      </c>
      <c r="I563" s="19">
        <v>95</v>
      </c>
    </row>
    <row r="564" spans="2:9">
      <c r="B564" s="2">
        <v>46263</v>
      </c>
      <c r="C564" s="13" t="s">
        <v>7</v>
      </c>
      <c r="D564" s="20">
        <v>15.833333333333334</v>
      </c>
      <c r="E564" s="20">
        <v>31</v>
      </c>
      <c r="F564" s="20">
        <v>18.75</v>
      </c>
      <c r="G564" s="20">
        <v>20.454545454545457</v>
      </c>
      <c r="H564" s="20">
        <v>86.037878787878796</v>
      </c>
      <c r="I564" s="21">
        <v>95</v>
      </c>
    </row>
    <row r="565" spans="2:9">
      <c r="B565" s="1">
        <v>46263</v>
      </c>
      <c r="C565" s="12" t="s">
        <v>11</v>
      </c>
      <c r="D565" s="18">
        <v>15.833333333333334</v>
      </c>
      <c r="E565" s="18">
        <v>31</v>
      </c>
      <c r="F565" s="18">
        <v>25</v>
      </c>
      <c r="G565" s="18">
        <v>25</v>
      </c>
      <c r="H565" s="18">
        <v>96.833333333333343</v>
      </c>
      <c r="I565" s="19">
        <v>95</v>
      </c>
    </row>
    <row r="566" spans="2:9">
      <c r="B566" s="2">
        <v>46263</v>
      </c>
      <c r="C566" s="13" t="s">
        <v>12</v>
      </c>
      <c r="D566" s="20">
        <v>19</v>
      </c>
      <c r="E566" s="20">
        <v>28.615384615384617</v>
      </c>
      <c r="F566" s="20">
        <v>25</v>
      </c>
      <c r="G566" s="20">
        <v>25</v>
      </c>
      <c r="H566" s="20">
        <v>97.615384615384613</v>
      </c>
      <c r="I566" s="21">
        <v>95</v>
      </c>
    </row>
    <row r="567" spans="2:9">
      <c r="B567" s="1">
        <v>46263</v>
      </c>
      <c r="C567" s="12" t="s">
        <v>9</v>
      </c>
      <c r="D567" s="18">
        <v>19</v>
      </c>
      <c r="E567" s="18">
        <v>31</v>
      </c>
      <c r="F567" s="18">
        <v>25</v>
      </c>
      <c r="G567" s="18">
        <v>25</v>
      </c>
      <c r="H567" s="18">
        <v>100</v>
      </c>
      <c r="I567" s="19">
        <v>95</v>
      </c>
    </row>
    <row r="568" spans="2:9">
      <c r="B568" s="2">
        <v>46263</v>
      </c>
      <c r="C568" s="13" t="s">
        <v>13</v>
      </c>
      <c r="D568" s="20">
        <v>15.833333333333334</v>
      </c>
      <c r="E568" s="20">
        <v>31</v>
      </c>
      <c r="F568" s="20">
        <v>25</v>
      </c>
      <c r="G568" s="20">
        <v>20.454545454545457</v>
      </c>
      <c r="H568" s="20">
        <v>92.287878787878796</v>
      </c>
      <c r="I568" s="21">
        <v>95</v>
      </c>
    </row>
    <row r="569" spans="2:9">
      <c r="B569" s="1">
        <v>46263</v>
      </c>
      <c r="C569" s="12" t="s">
        <v>6</v>
      </c>
      <c r="D569" s="18">
        <v>15.833333333333334</v>
      </c>
      <c r="E569" s="18">
        <v>31</v>
      </c>
      <c r="F569" s="18">
        <v>18.75</v>
      </c>
      <c r="G569" s="18">
        <v>22.727272727272727</v>
      </c>
      <c r="H569" s="18">
        <v>88.310606060606062</v>
      </c>
      <c r="I569" s="19">
        <v>95</v>
      </c>
    </row>
    <row r="570" spans="2:9">
      <c r="B570" s="2">
        <v>46263</v>
      </c>
      <c r="C570" s="13" t="s">
        <v>14</v>
      </c>
      <c r="D570" s="20">
        <v>19</v>
      </c>
      <c r="E570" s="20">
        <v>31</v>
      </c>
      <c r="F570" s="20">
        <v>21.875</v>
      </c>
      <c r="G570" s="20">
        <v>25</v>
      </c>
      <c r="H570" s="20">
        <v>96.875</v>
      </c>
      <c r="I570" s="21">
        <v>95</v>
      </c>
    </row>
    <row r="571" spans="2:9">
      <c r="B571" s="1">
        <v>46263</v>
      </c>
      <c r="C571" s="12" t="s">
        <v>4</v>
      </c>
      <c r="D571" s="18">
        <v>12.666666666666666</v>
      </c>
      <c r="E571" s="18">
        <v>28.615384615384617</v>
      </c>
      <c r="F571" s="18">
        <v>18.75</v>
      </c>
      <c r="G571" s="18">
        <v>25</v>
      </c>
      <c r="H571" s="18">
        <v>85.032051282051285</v>
      </c>
      <c r="I571" s="19">
        <v>95</v>
      </c>
    </row>
    <row r="572" spans="2:9">
      <c r="B572" s="2">
        <v>46263</v>
      </c>
      <c r="C572" s="13" t="s">
        <v>8</v>
      </c>
      <c r="D572" s="20">
        <v>15.833333333333334</v>
      </c>
      <c r="E572" s="20">
        <v>28.615384615384617</v>
      </c>
      <c r="F572" s="20">
        <v>21.875</v>
      </c>
      <c r="G572" s="20">
        <v>25</v>
      </c>
      <c r="H572" s="20">
        <v>91.323717948717956</v>
      </c>
      <c r="I572" s="21">
        <v>95</v>
      </c>
    </row>
    <row r="573" spans="2:9">
      <c r="B573" s="1">
        <v>46263</v>
      </c>
      <c r="C573" s="12" t="s">
        <v>15</v>
      </c>
      <c r="D573" s="18">
        <v>19</v>
      </c>
      <c r="E573" s="18">
        <v>31</v>
      </c>
      <c r="F573" s="18">
        <v>25</v>
      </c>
      <c r="G573" s="18">
        <v>25</v>
      </c>
      <c r="H573" s="18">
        <v>100</v>
      </c>
      <c r="I573" s="19">
        <v>95</v>
      </c>
    </row>
    <row r="574" spans="2:9">
      <c r="B574" s="2">
        <v>46263</v>
      </c>
      <c r="C574" s="13" t="s">
        <v>16</v>
      </c>
      <c r="D574" s="20">
        <v>19</v>
      </c>
      <c r="E574" s="20">
        <v>31</v>
      </c>
      <c r="F574" s="20">
        <v>25</v>
      </c>
      <c r="G574" s="20">
        <v>25</v>
      </c>
      <c r="H574" s="20">
        <v>100</v>
      </c>
      <c r="I574" s="21">
        <v>95</v>
      </c>
    </row>
    <row r="575" spans="2:9">
      <c r="B575" s="1">
        <v>46263</v>
      </c>
      <c r="C575" s="12" t="s">
        <v>18</v>
      </c>
      <c r="D575" s="18">
        <v>15.833333333333334</v>
      </c>
      <c r="E575" s="18">
        <v>31</v>
      </c>
      <c r="F575" s="18">
        <v>25</v>
      </c>
      <c r="G575" s="18">
        <v>25</v>
      </c>
      <c r="H575" s="18">
        <v>96.833333333333343</v>
      </c>
      <c r="I575" s="19">
        <v>95</v>
      </c>
    </row>
    <row r="576" spans="2:9">
      <c r="B576" s="2">
        <v>46263</v>
      </c>
      <c r="C576" s="13" t="s">
        <v>19</v>
      </c>
      <c r="D576" s="20">
        <v>19</v>
      </c>
      <c r="E576" s="20">
        <v>31</v>
      </c>
      <c r="F576" s="20">
        <v>25</v>
      </c>
      <c r="G576" s="20">
        <v>25</v>
      </c>
      <c r="H576" s="20">
        <v>100</v>
      </c>
      <c r="I576" s="21">
        <v>95</v>
      </c>
    </row>
    <row r="577" spans="2:9">
      <c r="B577" s="1">
        <v>46263</v>
      </c>
      <c r="C577" s="12" t="s">
        <v>10</v>
      </c>
      <c r="D577" s="18">
        <v>19</v>
      </c>
      <c r="E577" s="18">
        <v>31</v>
      </c>
      <c r="F577" s="18">
        <v>25</v>
      </c>
      <c r="G577" s="18">
        <v>25</v>
      </c>
      <c r="H577" s="18">
        <v>100</v>
      </c>
      <c r="I577" s="19">
        <v>95</v>
      </c>
    </row>
    <row r="578" spans="2:9">
      <c r="B578" s="2">
        <v>46263</v>
      </c>
      <c r="C578" s="13" t="s">
        <v>17</v>
      </c>
      <c r="D578" s="20">
        <v>15.833333333333334</v>
      </c>
      <c r="E578" s="20">
        <v>26.23076923076923</v>
      </c>
      <c r="F578" s="20">
        <v>25</v>
      </c>
      <c r="G578" s="20">
        <v>20.454545454545457</v>
      </c>
      <c r="H578" s="20">
        <v>87.518648018648022</v>
      </c>
      <c r="I578" s="21">
        <v>95</v>
      </c>
    </row>
    <row r="579" spans="2:9">
      <c r="B579" s="1">
        <v>46270</v>
      </c>
      <c r="C579" s="12" t="s">
        <v>2</v>
      </c>
      <c r="D579" s="18">
        <v>19</v>
      </c>
      <c r="E579" s="18">
        <v>31</v>
      </c>
      <c r="F579" s="18">
        <v>18.75</v>
      </c>
      <c r="G579" s="18">
        <v>25</v>
      </c>
      <c r="H579" s="18">
        <v>93.75</v>
      </c>
      <c r="I579" s="19">
        <v>95</v>
      </c>
    </row>
    <row r="580" spans="2:9">
      <c r="B580" s="2">
        <v>46270</v>
      </c>
      <c r="C580" s="13" t="s">
        <v>5</v>
      </c>
      <c r="D580" s="20">
        <v>15.833333333333334</v>
      </c>
      <c r="E580" s="20">
        <v>28.615384615384617</v>
      </c>
      <c r="F580" s="20">
        <v>15.625</v>
      </c>
      <c r="G580" s="20">
        <v>20.454545454545457</v>
      </c>
      <c r="H580" s="20">
        <v>80.528263403263409</v>
      </c>
      <c r="I580" s="21">
        <v>95</v>
      </c>
    </row>
    <row r="581" spans="2:9">
      <c r="B581" s="1">
        <v>46270</v>
      </c>
      <c r="C581" s="12" t="s">
        <v>7</v>
      </c>
      <c r="D581" s="18">
        <v>15.833333333333334</v>
      </c>
      <c r="E581" s="18">
        <v>31</v>
      </c>
      <c r="F581" s="18">
        <v>15.625</v>
      </c>
      <c r="G581" s="18">
        <v>20.454545454545457</v>
      </c>
      <c r="H581" s="18">
        <v>82.912878787878796</v>
      </c>
      <c r="I581" s="19">
        <v>95</v>
      </c>
    </row>
    <row r="582" spans="2:9">
      <c r="B582" s="2">
        <v>46270</v>
      </c>
      <c r="C582" s="13" t="s">
        <v>11</v>
      </c>
      <c r="D582" s="20">
        <v>15.833333333333334</v>
      </c>
      <c r="E582" s="20">
        <v>31</v>
      </c>
      <c r="F582" s="20">
        <v>25</v>
      </c>
      <c r="G582" s="20">
        <v>25</v>
      </c>
      <c r="H582" s="20">
        <v>96.833333333333343</v>
      </c>
      <c r="I582" s="21">
        <v>95</v>
      </c>
    </row>
    <row r="583" spans="2:9">
      <c r="B583" s="1">
        <v>46270</v>
      </c>
      <c r="C583" s="12" t="s">
        <v>12</v>
      </c>
      <c r="D583" s="18">
        <v>19</v>
      </c>
      <c r="E583" s="18">
        <v>31</v>
      </c>
      <c r="F583" s="18">
        <v>25</v>
      </c>
      <c r="G583" s="18">
        <v>25</v>
      </c>
      <c r="H583" s="18">
        <v>100</v>
      </c>
      <c r="I583" s="19">
        <v>95</v>
      </c>
    </row>
    <row r="584" spans="2:9">
      <c r="B584" s="2">
        <v>46270</v>
      </c>
      <c r="C584" s="13" t="s">
        <v>9</v>
      </c>
      <c r="D584" s="20">
        <v>19</v>
      </c>
      <c r="E584" s="20">
        <v>31</v>
      </c>
      <c r="F584" s="20">
        <v>25</v>
      </c>
      <c r="G584" s="20">
        <v>25</v>
      </c>
      <c r="H584" s="20">
        <v>100</v>
      </c>
      <c r="I584" s="21">
        <v>95</v>
      </c>
    </row>
    <row r="585" spans="2:9">
      <c r="B585" s="1">
        <v>46270</v>
      </c>
      <c r="C585" s="12" t="s">
        <v>13</v>
      </c>
      <c r="D585" s="18">
        <v>15.833333333333334</v>
      </c>
      <c r="E585" s="18">
        <v>31</v>
      </c>
      <c r="F585" s="18">
        <v>21.875</v>
      </c>
      <c r="G585" s="18">
        <v>18.181818181818183</v>
      </c>
      <c r="H585" s="18">
        <v>86.89015151515153</v>
      </c>
      <c r="I585" s="19">
        <v>95</v>
      </c>
    </row>
    <row r="586" spans="2:9">
      <c r="B586" s="2">
        <v>46270</v>
      </c>
      <c r="C586" s="13" t="s">
        <v>6</v>
      </c>
      <c r="D586" s="20">
        <v>15.833333333333334</v>
      </c>
      <c r="E586" s="20">
        <v>28.615384615384617</v>
      </c>
      <c r="F586" s="20">
        <v>18.75</v>
      </c>
      <c r="G586" s="20">
        <v>22.727272727272727</v>
      </c>
      <c r="H586" s="20">
        <v>85.925990675990676</v>
      </c>
      <c r="I586" s="21">
        <v>95</v>
      </c>
    </row>
    <row r="587" spans="2:9">
      <c r="B587" s="1">
        <v>46270</v>
      </c>
      <c r="C587" s="12" t="s">
        <v>14</v>
      </c>
      <c r="D587" s="18">
        <v>15.833333333333334</v>
      </c>
      <c r="E587" s="18">
        <v>31</v>
      </c>
      <c r="F587" s="18">
        <v>25</v>
      </c>
      <c r="G587" s="18">
        <v>22.727272727272727</v>
      </c>
      <c r="H587" s="18">
        <v>94.560606060606062</v>
      </c>
      <c r="I587" s="19">
        <v>95</v>
      </c>
    </row>
    <row r="588" spans="2:9">
      <c r="B588" s="2">
        <v>46270</v>
      </c>
      <c r="C588" s="13" t="s">
        <v>4</v>
      </c>
      <c r="D588" s="20">
        <v>15.833333333333334</v>
      </c>
      <c r="E588" s="20">
        <v>26.23076923076923</v>
      </c>
      <c r="F588" s="20">
        <v>15.625</v>
      </c>
      <c r="G588" s="20">
        <v>15.909090909090908</v>
      </c>
      <c r="H588" s="20">
        <v>73.598193473193476</v>
      </c>
      <c r="I588" s="21">
        <v>95</v>
      </c>
    </row>
    <row r="589" spans="2:9">
      <c r="B589" s="1">
        <v>46270</v>
      </c>
      <c r="C589" s="12" t="s">
        <v>8</v>
      </c>
      <c r="D589" s="18">
        <v>15.833333333333334</v>
      </c>
      <c r="E589" s="18">
        <v>31</v>
      </c>
      <c r="F589" s="18">
        <v>15.625</v>
      </c>
      <c r="G589" s="18">
        <v>22.727272727272727</v>
      </c>
      <c r="H589" s="18">
        <v>85.185606060606062</v>
      </c>
      <c r="I589" s="19">
        <v>95</v>
      </c>
    </row>
    <row r="590" spans="2:9">
      <c r="B590" s="2">
        <v>46270</v>
      </c>
      <c r="C590" s="13" t="s">
        <v>15</v>
      </c>
      <c r="D590" s="20">
        <v>15.833333333333334</v>
      </c>
      <c r="E590" s="20">
        <v>26.23076923076923</v>
      </c>
      <c r="F590" s="20">
        <v>25</v>
      </c>
      <c r="G590" s="20">
        <v>22.727272727272727</v>
      </c>
      <c r="H590" s="20">
        <v>89.791375291375289</v>
      </c>
      <c r="I590" s="21">
        <v>95</v>
      </c>
    </row>
    <row r="591" spans="2:9">
      <c r="B591" s="1">
        <v>46270</v>
      </c>
      <c r="C591" s="12" t="s">
        <v>16</v>
      </c>
      <c r="D591" s="18">
        <v>19</v>
      </c>
      <c r="E591" s="18">
        <v>31</v>
      </c>
      <c r="F591" s="18">
        <v>15.625</v>
      </c>
      <c r="G591" s="18">
        <v>25</v>
      </c>
      <c r="H591" s="18">
        <v>90.625</v>
      </c>
      <c r="I591" s="19">
        <v>95</v>
      </c>
    </row>
    <row r="592" spans="2:9">
      <c r="B592" s="2">
        <v>46270</v>
      </c>
      <c r="C592" s="13" t="s">
        <v>18</v>
      </c>
      <c r="D592" s="20">
        <v>19</v>
      </c>
      <c r="E592" s="20">
        <v>31</v>
      </c>
      <c r="F592" s="20">
        <v>25</v>
      </c>
      <c r="G592" s="20">
        <v>25</v>
      </c>
      <c r="H592" s="20">
        <v>100</v>
      </c>
      <c r="I592" s="21">
        <v>95</v>
      </c>
    </row>
    <row r="593" spans="2:9">
      <c r="B593" s="1">
        <v>46270</v>
      </c>
      <c r="C593" s="12" t="s">
        <v>19</v>
      </c>
      <c r="D593" s="18">
        <v>19</v>
      </c>
      <c r="E593" s="18">
        <v>28.615384615384617</v>
      </c>
      <c r="F593" s="18">
        <v>25</v>
      </c>
      <c r="G593" s="18">
        <v>22.727272727272727</v>
      </c>
      <c r="H593" s="18">
        <v>95.342657342657333</v>
      </c>
      <c r="I593" s="19">
        <v>95</v>
      </c>
    </row>
    <row r="594" spans="2:9">
      <c r="B594" s="2">
        <v>46270</v>
      </c>
      <c r="C594" s="13" t="s">
        <v>10</v>
      </c>
      <c r="D594" s="20">
        <v>19</v>
      </c>
      <c r="E594" s="20">
        <v>28.615384615384617</v>
      </c>
      <c r="F594" s="20">
        <v>25</v>
      </c>
      <c r="G594" s="20">
        <v>25</v>
      </c>
      <c r="H594" s="20">
        <v>97.615384615384613</v>
      </c>
      <c r="I594" s="21">
        <v>95</v>
      </c>
    </row>
    <row r="595" spans="2:9">
      <c r="B595" s="1">
        <v>46270</v>
      </c>
      <c r="C595" s="12" t="s">
        <v>17</v>
      </c>
      <c r="D595" s="18">
        <v>15.833333333333334</v>
      </c>
      <c r="E595" s="18">
        <v>26.23076923076923</v>
      </c>
      <c r="F595" s="18">
        <v>25</v>
      </c>
      <c r="G595" s="18">
        <v>22.727272727272727</v>
      </c>
      <c r="H595" s="18">
        <v>89.791375291375289</v>
      </c>
      <c r="I595" s="19">
        <v>95</v>
      </c>
    </row>
    <row r="596" spans="2:9">
      <c r="B596" s="2">
        <v>46277</v>
      </c>
      <c r="C596" s="13" t="s">
        <v>2</v>
      </c>
      <c r="D596" s="20">
        <v>19</v>
      </c>
      <c r="E596" s="20">
        <v>31</v>
      </c>
      <c r="F596" s="20">
        <v>21.875</v>
      </c>
      <c r="G596" s="20">
        <v>22.727272727272727</v>
      </c>
      <c r="H596" s="20">
        <v>94.60227272727272</v>
      </c>
      <c r="I596" s="21">
        <v>95</v>
      </c>
    </row>
    <row r="597" spans="2:9">
      <c r="B597" s="1">
        <v>46277</v>
      </c>
      <c r="C597" s="12" t="s">
        <v>5</v>
      </c>
      <c r="D597" s="18">
        <v>15.833333333333334</v>
      </c>
      <c r="E597" s="18">
        <v>28.615384615384617</v>
      </c>
      <c r="F597" s="18">
        <v>21.875</v>
      </c>
      <c r="G597" s="18">
        <v>22.727272727272727</v>
      </c>
      <c r="H597" s="18">
        <v>89.050990675990676</v>
      </c>
      <c r="I597" s="19">
        <v>95</v>
      </c>
    </row>
    <row r="598" spans="2:9">
      <c r="B598" s="2">
        <v>46277</v>
      </c>
      <c r="C598" s="13" t="s">
        <v>7</v>
      </c>
      <c r="D598" s="20">
        <v>15.833333333333334</v>
      </c>
      <c r="E598" s="20">
        <v>31</v>
      </c>
      <c r="F598" s="20">
        <v>15.625</v>
      </c>
      <c r="G598" s="20">
        <v>20.454545454545457</v>
      </c>
      <c r="H598" s="20">
        <v>82.912878787878796</v>
      </c>
      <c r="I598" s="21">
        <v>95</v>
      </c>
    </row>
    <row r="599" spans="2:9">
      <c r="B599" s="1">
        <v>46277</v>
      </c>
      <c r="C599" s="12" t="s">
        <v>11</v>
      </c>
      <c r="D599" s="18">
        <v>15.833333333333334</v>
      </c>
      <c r="E599" s="18">
        <v>26.23076923076923</v>
      </c>
      <c r="F599" s="18">
        <v>25</v>
      </c>
      <c r="G599" s="18">
        <v>25</v>
      </c>
      <c r="H599" s="18">
        <v>92.064102564102569</v>
      </c>
      <c r="I599" s="19">
        <v>95</v>
      </c>
    </row>
    <row r="600" spans="2:9">
      <c r="B600" s="2">
        <v>46277</v>
      </c>
      <c r="C600" s="13" t="s">
        <v>12</v>
      </c>
      <c r="D600" s="20">
        <v>19</v>
      </c>
      <c r="E600" s="20">
        <v>31</v>
      </c>
      <c r="F600" s="20">
        <v>21.875</v>
      </c>
      <c r="G600" s="20">
        <v>20.454545454545457</v>
      </c>
      <c r="H600" s="20">
        <v>92.329545454545453</v>
      </c>
      <c r="I600" s="21">
        <v>95</v>
      </c>
    </row>
    <row r="601" spans="2:9">
      <c r="B601" s="1">
        <v>46277</v>
      </c>
      <c r="C601" s="12" t="s">
        <v>9</v>
      </c>
      <c r="D601" s="18">
        <v>19</v>
      </c>
      <c r="E601" s="18">
        <v>31</v>
      </c>
      <c r="F601" s="18">
        <v>25</v>
      </c>
      <c r="G601" s="18">
        <v>25</v>
      </c>
      <c r="H601" s="18">
        <v>100</v>
      </c>
      <c r="I601" s="19">
        <v>95</v>
      </c>
    </row>
    <row r="602" spans="2:9">
      <c r="B602" s="2">
        <v>46277</v>
      </c>
      <c r="C602" s="13" t="s">
        <v>13</v>
      </c>
      <c r="D602" s="20">
        <v>15.833333333333334</v>
      </c>
      <c r="E602" s="20">
        <v>31</v>
      </c>
      <c r="F602" s="20">
        <v>25</v>
      </c>
      <c r="G602" s="20">
        <v>25</v>
      </c>
      <c r="H602" s="20">
        <v>96.833333333333343</v>
      </c>
      <c r="I602" s="21">
        <v>95</v>
      </c>
    </row>
    <row r="603" spans="2:9">
      <c r="B603" s="1">
        <v>46277</v>
      </c>
      <c r="C603" s="12" t="s">
        <v>6</v>
      </c>
      <c r="D603" s="18">
        <v>12.666666666666666</v>
      </c>
      <c r="E603" s="18">
        <v>31</v>
      </c>
      <c r="F603" s="18">
        <v>18.75</v>
      </c>
      <c r="G603" s="18">
        <v>25</v>
      </c>
      <c r="H603" s="18">
        <v>87.416666666666657</v>
      </c>
      <c r="I603" s="19">
        <v>95</v>
      </c>
    </row>
    <row r="604" spans="2:9">
      <c r="B604" s="2">
        <v>46277</v>
      </c>
      <c r="C604" s="13" t="s">
        <v>14</v>
      </c>
      <c r="D604" s="20">
        <v>19</v>
      </c>
      <c r="E604" s="20">
        <v>28.615384615384617</v>
      </c>
      <c r="F604" s="20">
        <v>21.875</v>
      </c>
      <c r="G604" s="20">
        <v>25</v>
      </c>
      <c r="H604" s="20">
        <v>94.490384615384613</v>
      </c>
      <c r="I604" s="21">
        <v>95</v>
      </c>
    </row>
    <row r="605" spans="2:9">
      <c r="B605" s="1">
        <v>46277</v>
      </c>
      <c r="C605" s="12" t="s">
        <v>4</v>
      </c>
      <c r="D605" s="18">
        <v>19</v>
      </c>
      <c r="E605" s="18">
        <v>28.615384615384617</v>
      </c>
      <c r="F605" s="18">
        <v>12.5</v>
      </c>
      <c r="G605" s="18">
        <v>25</v>
      </c>
      <c r="H605" s="18">
        <v>85.115384615384613</v>
      </c>
      <c r="I605" s="19">
        <v>95</v>
      </c>
    </row>
    <row r="606" spans="2:9">
      <c r="B606" s="2">
        <v>46277</v>
      </c>
      <c r="C606" s="13" t="s">
        <v>8</v>
      </c>
      <c r="D606" s="20">
        <v>19</v>
      </c>
      <c r="E606" s="20">
        <v>31</v>
      </c>
      <c r="F606" s="20">
        <v>18.75</v>
      </c>
      <c r="G606" s="20">
        <v>25</v>
      </c>
      <c r="H606" s="20">
        <v>93.75</v>
      </c>
      <c r="I606" s="21">
        <v>95</v>
      </c>
    </row>
    <row r="607" spans="2:9">
      <c r="B607" s="1">
        <v>46277</v>
      </c>
      <c r="C607" s="12" t="s">
        <v>15</v>
      </c>
      <c r="D607" s="18">
        <v>19</v>
      </c>
      <c r="E607" s="18">
        <v>31</v>
      </c>
      <c r="F607" s="18">
        <v>25</v>
      </c>
      <c r="G607" s="18">
        <v>22.727272727272727</v>
      </c>
      <c r="H607" s="18">
        <v>97.72727272727272</v>
      </c>
      <c r="I607" s="19">
        <v>95</v>
      </c>
    </row>
    <row r="608" spans="2:9">
      <c r="B608" s="2">
        <v>46277</v>
      </c>
      <c r="C608" s="13" t="s">
        <v>16</v>
      </c>
      <c r="D608" s="20">
        <v>15.833333333333334</v>
      </c>
      <c r="E608" s="20">
        <v>31</v>
      </c>
      <c r="F608" s="20">
        <v>15.625</v>
      </c>
      <c r="G608" s="20">
        <v>25</v>
      </c>
      <c r="H608" s="20">
        <v>87.458333333333343</v>
      </c>
      <c r="I608" s="21">
        <v>95</v>
      </c>
    </row>
    <row r="609" spans="2:9">
      <c r="B609" s="1">
        <v>46277</v>
      </c>
      <c r="C609" s="12" t="s">
        <v>18</v>
      </c>
      <c r="D609" s="18">
        <v>19</v>
      </c>
      <c r="E609" s="18">
        <v>31</v>
      </c>
      <c r="F609" s="18">
        <v>25</v>
      </c>
      <c r="G609" s="18">
        <v>22.727272727272727</v>
      </c>
      <c r="H609" s="18">
        <v>97.72727272727272</v>
      </c>
      <c r="I609" s="19">
        <v>95</v>
      </c>
    </row>
    <row r="610" spans="2:9">
      <c r="B610" s="2">
        <v>46277</v>
      </c>
      <c r="C610" s="13" t="s">
        <v>19</v>
      </c>
      <c r="D610" s="20">
        <v>19</v>
      </c>
      <c r="E610" s="20">
        <v>31</v>
      </c>
      <c r="F610" s="20">
        <v>25</v>
      </c>
      <c r="G610" s="20">
        <v>25</v>
      </c>
      <c r="H610" s="20">
        <v>100</v>
      </c>
      <c r="I610" s="21">
        <v>95</v>
      </c>
    </row>
    <row r="611" spans="2:9">
      <c r="B611" s="1">
        <v>46277</v>
      </c>
      <c r="C611" s="12" t="s">
        <v>10</v>
      </c>
      <c r="D611" s="18">
        <v>19</v>
      </c>
      <c r="E611" s="18">
        <v>31</v>
      </c>
      <c r="F611" s="18">
        <v>25</v>
      </c>
      <c r="G611" s="18">
        <v>20.454545454545457</v>
      </c>
      <c r="H611" s="18">
        <v>95.454545454545453</v>
      </c>
      <c r="I611" s="19">
        <v>95</v>
      </c>
    </row>
    <row r="612" spans="2:9">
      <c r="B612" s="2">
        <v>46277</v>
      </c>
      <c r="C612" s="13" t="s">
        <v>17</v>
      </c>
      <c r="D612" s="20">
        <v>15.833333333333334</v>
      </c>
      <c r="E612" s="20">
        <v>23.846153846153847</v>
      </c>
      <c r="F612" s="20">
        <v>21.875</v>
      </c>
      <c r="G612" s="20">
        <v>22.727272727272727</v>
      </c>
      <c r="H612" s="20">
        <v>84.281759906759902</v>
      </c>
      <c r="I612" s="21">
        <v>95</v>
      </c>
    </row>
    <row r="613" spans="2:9">
      <c r="B613" s="1">
        <v>46284</v>
      </c>
      <c r="C613" s="12" t="s">
        <v>2</v>
      </c>
      <c r="D613" s="18">
        <v>19</v>
      </c>
      <c r="E613" s="18">
        <v>28.615384615384617</v>
      </c>
      <c r="F613" s="18">
        <v>18.75</v>
      </c>
      <c r="G613" s="18">
        <v>25</v>
      </c>
      <c r="H613" s="18">
        <v>91.365384615384613</v>
      </c>
      <c r="I613" s="19">
        <v>95</v>
      </c>
    </row>
    <row r="614" spans="2:9">
      <c r="B614" s="2">
        <v>46284</v>
      </c>
      <c r="C614" s="13" t="s">
        <v>5</v>
      </c>
      <c r="D614" s="20">
        <v>15.833333333333334</v>
      </c>
      <c r="E614" s="20">
        <v>31</v>
      </c>
      <c r="F614" s="20">
        <v>21.875</v>
      </c>
      <c r="G614" s="20">
        <v>22.727272727272727</v>
      </c>
      <c r="H614" s="20">
        <v>91.435606060606062</v>
      </c>
      <c r="I614" s="21">
        <v>95</v>
      </c>
    </row>
    <row r="615" spans="2:9">
      <c r="B615" s="1">
        <v>46284</v>
      </c>
      <c r="C615" s="12" t="s">
        <v>7</v>
      </c>
      <c r="D615" s="18">
        <v>15.833333333333334</v>
      </c>
      <c r="E615" s="18">
        <v>31</v>
      </c>
      <c r="F615" s="18">
        <v>18.75</v>
      </c>
      <c r="G615" s="18">
        <v>20.454545454545457</v>
      </c>
      <c r="H615" s="18">
        <v>86.037878787878796</v>
      </c>
      <c r="I615" s="19">
        <v>95</v>
      </c>
    </row>
    <row r="616" spans="2:9">
      <c r="B616" s="2">
        <v>46284</v>
      </c>
      <c r="C616" s="13" t="s">
        <v>11</v>
      </c>
      <c r="D616" s="20">
        <v>15.833333333333334</v>
      </c>
      <c r="E616" s="20">
        <v>31</v>
      </c>
      <c r="F616" s="20">
        <v>25</v>
      </c>
      <c r="G616" s="20">
        <v>25</v>
      </c>
      <c r="H616" s="20">
        <v>96.833333333333343</v>
      </c>
      <c r="I616" s="21">
        <v>95</v>
      </c>
    </row>
    <row r="617" spans="2:9">
      <c r="B617" s="1">
        <v>46284</v>
      </c>
      <c r="C617" s="12" t="s">
        <v>12</v>
      </c>
      <c r="D617" s="18">
        <v>19</v>
      </c>
      <c r="E617" s="18">
        <v>31</v>
      </c>
      <c r="F617" s="18">
        <v>25</v>
      </c>
      <c r="G617" s="18">
        <v>25</v>
      </c>
      <c r="H617" s="18">
        <v>100</v>
      </c>
      <c r="I617" s="19">
        <v>95</v>
      </c>
    </row>
    <row r="618" spans="2:9">
      <c r="B618" s="2">
        <v>46284</v>
      </c>
      <c r="C618" s="13" t="s">
        <v>9</v>
      </c>
      <c r="D618" s="20">
        <v>19</v>
      </c>
      <c r="E618" s="20">
        <v>31</v>
      </c>
      <c r="F618" s="20">
        <v>25</v>
      </c>
      <c r="G618" s="20">
        <v>25</v>
      </c>
      <c r="H618" s="20">
        <v>100</v>
      </c>
      <c r="I618" s="21">
        <v>95</v>
      </c>
    </row>
    <row r="619" spans="2:9">
      <c r="B619" s="1">
        <v>46284</v>
      </c>
      <c r="C619" s="12" t="s">
        <v>13</v>
      </c>
      <c r="D619" s="18">
        <v>15.833333333333334</v>
      </c>
      <c r="E619" s="18">
        <v>31</v>
      </c>
      <c r="F619" s="18">
        <v>25</v>
      </c>
      <c r="G619" s="18">
        <v>25</v>
      </c>
      <c r="H619" s="18">
        <v>96.833333333333343</v>
      </c>
      <c r="I619" s="19">
        <v>95</v>
      </c>
    </row>
    <row r="620" spans="2:9">
      <c r="B620" s="2">
        <v>46284</v>
      </c>
      <c r="C620" s="13" t="s">
        <v>6</v>
      </c>
      <c r="D620" s="20">
        <v>15.833333333333334</v>
      </c>
      <c r="E620" s="20">
        <v>28.615384615384617</v>
      </c>
      <c r="F620" s="20">
        <v>21.875</v>
      </c>
      <c r="G620" s="20">
        <v>25</v>
      </c>
      <c r="H620" s="20">
        <v>91.323717948717956</v>
      </c>
      <c r="I620" s="21">
        <v>95</v>
      </c>
    </row>
    <row r="621" spans="2:9">
      <c r="B621" s="1">
        <v>46284</v>
      </c>
      <c r="C621" s="12" t="s">
        <v>14</v>
      </c>
      <c r="D621" s="18">
        <v>19</v>
      </c>
      <c r="E621" s="18">
        <v>28.615384615384617</v>
      </c>
      <c r="F621" s="18">
        <v>21.875</v>
      </c>
      <c r="G621" s="18">
        <v>20.454545454545457</v>
      </c>
      <c r="H621" s="18">
        <v>89.944930069930066</v>
      </c>
      <c r="I621" s="19">
        <v>95</v>
      </c>
    </row>
    <row r="622" spans="2:9">
      <c r="B622" s="2">
        <v>46284</v>
      </c>
      <c r="C622" s="13" t="s">
        <v>4</v>
      </c>
      <c r="D622" s="20">
        <v>19</v>
      </c>
      <c r="E622" s="20">
        <v>31</v>
      </c>
      <c r="F622" s="20">
        <v>18.75</v>
      </c>
      <c r="G622" s="20">
        <v>25</v>
      </c>
      <c r="H622" s="20">
        <v>93.75</v>
      </c>
      <c r="I622" s="21">
        <v>95</v>
      </c>
    </row>
    <row r="623" spans="2:9">
      <c r="B623" s="1">
        <v>46284</v>
      </c>
      <c r="C623" s="12" t="s">
        <v>8</v>
      </c>
      <c r="D623" s="18">
        <v>15.833333333333334</v>
      </c>
      <c r="E623" s="18">
        <v>28.785714285714288</v>
      </c>
      <c r="F623" s="18">
        <v>18.75</v>
      </c>
      <c r="G623" s="18">
        <v>22.727272727272727</v>
      </c>
      <c r="H623" s="18">
        <v>86.09632034632034</v>
      </c>
      <c r="I623" s="19">
        <v>95</v>
      </c>
    </row>
    <row r="624" spans="2:9">
      <c r="B624" s="2">
        <v>46284</v>
      </c>
      <c r="C624" s="13" t="s">
        <v>15</v>
      </c>
      <c r="D624" s="20">
        <v>19</v>
      </c>
      <c r="E624" s="20">
        <v>28.615384615384617</v>
      </c>
      <c r="F624" s="20">
        <v>25</v>
      </c>
      <c r="G624" s="20">
        <v>25</v>
      </c>
      <c r="H624" s="20">
        <v>97.615384615384613</v>
      </c>
      <c r="I624" s="21">
        <v>95</v>
      </c>
    </row>
    <row r="625" spans="2:9">
      <c r="B625" s="1">
        <v>46284</v>
      </c>
      <c r="C625" s="12" t="s">
        <v>16</v>
      </c>
      <c r="D625" s="18">
        <v>15.833333333333334</v>
      </c>
      <c r="E625" s="18">
        <v>31</v>
      </c>
      <c r="F625" s="18">
        <v>18.75</v>
      </c>
      <c r="G625" s="18">
        <v>25</v>
      </c>
      <c r="H625" s="18">
        <v>90.583333333333343</v>
      </c>
      <c r="I625" s="19">
        <v>95</v>
      </c>
    </row>
    <row r="626" spans="2:9">
      <c r="B626" s="2">
        <v>46284</v>
      </c>
      <c r="C626" s="13" t="s">
        <v>18</v>
      </c>
      <c r="D626" s="20">
        <v>15.833333333333334</v>
      </c>
      <c r="E626" s="20">
        <v>31</v>
      </c>
      <c r="F626" s="20">
        <v>25</v>
      </c>
      <c r="G626" s="20">
        <v>25</v>
      </c>
      <c r="H626" s="20">
        <v>96.833333333333343</v>
      </c>
      <c r="I626" s="21">
        <v>95</v>
      </c>
    </row>
    <row r="627" spans="2:9">
      <c r="B627" s="1">
        <v>46284</v>
      </c>
      <c r="C627" s="12" t="s">
        <v>19</v>
      </c>
      <c r="D627" s="18">
        <v>19</v>
      </c>
      <c r="E627" s="18">
        <v>31</v>
      </c>
      <c r="F627" s="18">
        <v>25</v>
      </c>
      <c r="G627" s="18">
        <v>25</v>
      </c>
      <c r="H627" s="18">
        <v>100</v>
      </c>
      <c r="I627" s="19">
        <v>95</v>
      </c>
    </row>
    <row r="628" spans="2:9">
      <c r="B628" s="2">
        <v>46284</v>
      </c>
      <c r="C628" s="13" t="s">
        <v>10</v>
      </c>
      <c r="D628" s="20">
        <v>19</v>
      </c>
      <c r="E628" s="20">
        <v>31</v>
      </c>
      <c r="F628" s="20">
        <v>25</v>
      </c>
      <c r="G628" s="20">
        <v>25</v>
      </c>
      <c r="H628" s="20">
        <v>100</v>
      </c>
      <c r="I628" s="21">
        <v>95</v>
      </c>
    </row>
    <row r="629" spans="2:9">
      <c r="B629" s="1">
        <v>46284</v>
      </c>
      <c r="C629" s="12" t="s">
        <v>17</v>
      </c>
      <c r="D629" s="18">
        <v>15.833333333333334</v>
      </c>
      <c r="E629" s="18">
        <v>28.615384615384617</v>
      </c>
      <c r="F629" s="18">
        <v>21.875</v>
      </c>
      <c r="G629" s="18">
        <v>25</v>
      </c>
      <c r="H629" s="18">
        <v>91.323717948717956</v>
      </c>
      <c r="I629" s="19">
        <v>95</v>
      </c>
    </row>
    <row r="630" spans="2:9">
      <c r="B630" s="2">
        <v>46291</v>
      </c>
      <c r="C630" s="13" t="s">
        <v>2</v>
      </c>
      <c r="D630" s="20">
        <v>19</v>
      </c>
      <c r="E630" s="20">
        <v>28.785714285714288</v>
      </c>
      <c r="F630" s="20">
        <v>18.75</v>
      </c>
      <c r="G630" s="20">
        <v>25</v>
      </c>
      <c r="H630" s="20">
        <v>91.535714285714292</v>
      </c>
      <c r="I630" s="21">
        <v>95</v>
      </c>
    </row>
    <row r="631" spans="2:9">
      <c r="B631" s="1">
        <v>46291</v>
      </c>
      <c r="C631" s="12" t="s">
        <v>5</v>
      </c>
      <c r="D631" s="18">
        <v>15.833333333333334</v>
      </c>
      <c r="E631" s="18">
        <v>26.571428571428569</v>
      </c>
      <c r="F631" s="18">
        <v>18.75</v>
      </c>
      <c r="G631" s="18">
        <v>22.727272727272727</v>
      </c>
      <c r="H631" s="18">
        <v>83.882034632034632</v>
      </c>
      <c r="I631" s="19">
        <v>95</v>
      </c>
    </row>
    <row r="632" spans="2:9">
      <c r="B632" s="2">
        <v>46291</v>
      </c>
      <c r="C632" s="13" t="s">
        <v>7</v>
      </c>
      <c r="D632" s="20">
        <v>15.833333333333334</v>
      </c>
      <c r="E632" s="20">
        <v>31</v>
      </c>
      <c r="F632" s="20">
        <v>15.625</v>
      </c>
      <c r="G632" s="20">
        <v>22.727272727272727</v>
      </c>
      <c r="H632" s="20">
        <v>85.185606060606062</v>
      </c>
      <c r="I632" s="21">
        <v>95</v>
      </c>
    </row>
    <row r="633" spans="2:9">
      <c r="B633" s="1">
        <v>46291</v>
      </c>
      <c r="C633" s="12" t="s">
        <v>11</v>
      </c>
      <c r="D633" s="18">
        <v>19</v>
      </c>
      <c r="E633" s="18">
        <v>31</v>
      </c>
      <c r="F633" s="18">
        <v>21.875</v>
      </c>
      <c r="G633" s="18">
        <v>25</v>
      </c>
      <c r="H633" s="18">
        <v>96.875</v>
      </c>
      <c r="I633" s="19">
        <v>95</v>
      </c>
    </row>
    <row r="634" spans="2:9">
      <c r="B634" s="2">
        <v>46291</v>
      </c>
      <c r="C634" s="13" t="s">
        <v>12</v>
      </c>
      <c r="D634" s="20">
        <v>15.833333333333334</v>
      </c>
      <c r="E634" s="20">
        <v>31</v>
      </c>
      <c r="F634" s="20">
        <v>25</v>
      </c>
      <c r="G634" s="20">
        <v>25</v>
      </c>
      <c r="H634" s="20">
        <v>96.833333333333343</v>
      </c>
      <c r="I634" s="21">
        <v>95</v>
      </c>
    </row>
    <row r="635" spans="2:9">
      <c r="B635" s="1">
        <v>46291</v>
      </c>
      <c r="C635" s="12" t="s">
        <v>9</v>
      </c>
      <c r="D635" s="18">
        <v>19</v>
      </c>
      <c r="E635" s="18">
        <v>31</v>
      </c>
      <c r="F635" s="18">
        <v>25</v>
      </c>
      <c r="G635" s="18">
        <v>25</v>
      </c>
      <c r="H635" s="18">
        <v>100</v>
      </c>
      <c r="I635" s="19">
        <v>95</v>
      </c>
    </row>
    <row r="636" spans="2:9">
      <c r="B636" s="2">
        <v>46291</v>
      </c>
      <c r="C636" s="13" t="s">
        <v>13</v>
      </c>
      <c r="D636" s="20">
        <v>15.833333333333334</v>
      </c>
      <c r="E636" s="20">
        <v>28.615384615384617</v>
      </c>
      <c r="F636" s="20">
        <v>25</v>
      </c>
      <c r="G636" s="20">
        <v>25</v>
      </c>
      <c r="H636" s="20">
        <v>94.448717948717956</v>
      </c>
      <c r="I636" s="21">
        <v>95</v>
      </c>
    </row>
    <row r="637" spans="2:9">
      <c r="B637" s="1">
        <v>46291</v>
      </c>
      <c r="C637" s="12" t="s">
        <v>6</v>
      </c>
      <c r="D637" s="18">
        <v>15.833333333333334</v>
      </c>
      <c r="E637" s="18">
        <v>31</v>
      </c>
      <c r="F637" s="18">
        <v>21.875</v>
      </c>
      <c r="G637" s="18">
        <v>22.727272727272727</v>
      </c>
      <c r="H637" s="18">
        <v>91.435606060606062</v>
      </c>
      <c r="I637" s="19">
        <v>95</v>
      </c>
    </row>
    <row r="638" spans="2:9">
      <c r="B638" s="2">
        <v>46291</v>
      </c>
      <c r="C638" s="13" t="s">
        <v>14</v>
      </c>
      <c r="D638" s="20">
        <v>15.833333333333334</v>
      </c>
      <c r="E638" s="20">
        <v>28.785714285714288</v>
      </c>
      <c r="F638" s="20">
        <v>21.875</v>
      </c>
      <c r="G638" s="20">
        <v>25</v>
      </c>
      <c r="H638" s="20">
        <v>91.49404761904762</v>
      </c>
      <c r="I638" s="21">
        <v>95</v>
      </c>
    </row>
    <row r="639" spans="2:9">
      <c r="B639" s="1">
        <v>46291</v>
      </c>
      <c r="C639" s="12" t="s">
        <v>4</v>
      </c>
      <c r="D639" s="18">
        <v>15.833333333333334</v>
      </c>
      <c r="E639" s="18">
        <v>28.785714285714288</v>
      </c>
      <c r="F639" s="18">
        <v>21.875</v>
      </c>
      <c r="G639" s="18">
        <v>22.727272727272727</v>
      </c>
      <c r="H639" s="18">
        <v>89.22132034632034</v>
      </c>
      <c r="I639" s="19">
        <v>95</v>
      </c>
    </row>
    <row r="640" spans="2:9">
      <c r="B640" s="2">
        <v>46291</v>
      </c>
      <c r="C640" s="13" t="s">
        <v>8</v>
      </c>
      <c r="D640" s="20">
        <v>15.833333333333334</v>
      </c>
      <c r="E640" s="20">
        <v>31</v>
      </c>
      <c r="F640" s="20">
        <v>15.625</v>
      </c>
      <c r="G640" s="20">
        <v>20.454545454545457</v>
      </c>
      <c r="H640" s="20">
        <v>82.912878787878796</v>
      </c>
      <c r="I640" s="21">
        <v>95</v>
      </c>
    </row>
    <row r="641" spans="2:9">
      <c r="B641" s="1">
        <v>46291</v>
      </c>
      <c r="C641" s="12" t="s">
        <v>15</v>
      </c>
      <c r="D641" s="18">
        <v>19</v>
      </c>
      <c r="E641" s="18">
        <v>31</v>
      </c>
      <c r="F641" s="18">
        <v>25</v>
      </c>
      <c r="G641" s="18">
        <v>25</v>
      </c>
      <c r="H641" s="18">
        <v>100</v>
      </c>
      <c r="I641" s="19">
        <v>95</v>
      </c>
    </row>
    <row r="642" spans="2:9">
      <c r="B642" s="2">
        <v>46291</v>
      </c>
      <c r="C642" s="13" t="s">
        <v>16</v>
      </c>
      <c r="D642" s="20">
        <v>19</v>
      </c>
      <c r="E642" s="20">
        <v>31</v>
      </c>
      <c r="F642" s="20">
        <v>21.875</v>
      </c>
      <c r="G642" s="20">
        <v>25</v>
      </c>
      <c r="H642" s="20">
        <v>96.875</v>
      </c>
      <c r="I642" s="21">
        <v>95</v>
      </c>
    </row>
    <row r="643" spans="2:9">
      <c r="B643" s="1">
        <v>46291</v>
      </c>
      <c r="C643" s="12" t="s">
        <v>18</v>
      </c>
      <c r="D643" s="18">
        <v>15.833333333333334</v>
      </c>
      <c r="E643" s="18">
        <v>31</v>
      </c>
      <c r="F643" s="18">
        <v>21.875</v>
      </c>
      <c r="G643" s="18">
        <v>25</v>
      </c>
      <c r="H643" s="18">
        <v>93.708333333333343</v>
      </c>
      <c r="I643" s="19">
        <v>95</v>
      </c>
    </row>
    <row r="644" spans="2:9">
      <c r="B644" s="2">
        <v>46291</v>
      </c>
      <c r="C644" s="13" t="s">
        <v>19</v>
      </c>
      <c r="D644" s="20">
        <v>15.833333333333334</v>
      </c>
      <c r="E644" s="20">
        <v>28.615384615384617</v>
      </c>
      <c r="F644" s="20">
        <v>25</v>
      </c>
      <c r="G644" s="20">
        <v>25</v>
      </c>
      <c r="H644" s="20">
        <v>94.448717948717956</v>
      </c>
      <c r="I644" s="21">
        <v>95</v>
      </c>
    </row>
    <row r="645" spans="2:9">
      <c r="B645" s="1">
        <v>46291</v>
      </c>
      <c r="C645" s="12" t="s">
        <v>10</v>
      </c>
      <c r="D645" s="18">
        <v>19</v>
      </c>
      <c r="E645" s="18">
        <v>31</v>
      </c>
      <c r="F645" s="18">
        <v>25</v>
      </c>
      <c r="G645" s="18">
        <v>25</v>
      </c>
      <c r="H645" s="18">
        <v>100</v>
      </c>
      <c r="I645" s="19">
        <v>95</v>
      </c>
    </row>
    <row r="646" spans="2:9">
      <c r="B646" s="14">
        <v>46291</v>
      </c>
      <c r="C646" s="13" t="s">
        <v>17</v>
      </c>
      <c r="D646" s="20">
        <v>15.833333333333334</v>
      </c>
      <c r="E646" s="20">
        <v>24.357142857142858</v>
      </c>
      <c r="F646" s="20">
        <v>21.875</v>
      </c>
      <c r="G646" s="20">
        <v>22.727272727272727</v>
      </c>
      <c r="H646" s="20">
        <v>84.792748917748924</v>
      </c>
      <c r="I646" s="21">
        <v>95</v>
      </c>
    </row>
    <row r="647" spans="2:9">
      <c r="B647" s="15">
        <v>46298</v>
      </c>
      <c r="C647" t="s">
        <v>2</v>
      </c>
      <c r="D647" s="10">
        <v>19</v>
      </c>
      <c r="E647" s="10">
        <v>31</v>
      </c>
      <c r="F647" s="10">
        <v>12.5</v>
      </c>
      <c r="G647" s="10">
        <v>25</v>
      </c>
      <c r="H647" s="10">
        <v>87.5</v>
      </c>
      <c r="I647" s="10">
        <v>95</v>
      </c>
    </row>
    <row r="648" spans="2:9">
      <c r="B648" s="15">
        <v>46298</v>
      </c>
      <c r="C648" t="s">
        <v>5</v>
      </c>
      <c r="D648" s="10">
        <v>15.833333333333334</v>
      </c>
      <c r="E648" s="10">
        <v>26.571428571428569</v>
      </c>
      <c r="F648" s="10">
        <v>18.75</v>
      </c>
      <c r="G648" s="10">
        <v>22.727272727272727</v>
      </c>
      <c r="H648" s="10">
        <v>83.882034632034632</v>
      </c>
      <c r="I648" s="10">
        <v>95</v>
      </c>
    </row>
    <row r="649" spans="2:9">
      <c r="B649" s="15">
        <v>46298</v>
      </c>
      <c r="C649" t="s">
        <v>7</v>
      </c>
      <c r="D649" s="10">
        <v>15.833333333333334</v>
      </c>
      <c r="E649" s="10">
        <v>31</v>
      </c>
      <c r="F649" s="10">
        <v>12.5</v>
      </c>
      <c r="G649" s="10">
        <v>22.727272727272727</v>
      </c>
      <c r="H649" s="10">
        <v>82.060606060606062</v>
      </c>
      <c r="I649" s="10">
        <v>95</v>
      </c>
    </row>
    <row r="650" spans="2:9">
      <c r="B650" s="15">
        <v>46298</v>
      </c>
      <c r="C650" t="s">
        <v>11</v>
      </c>
      <c r="D650" s="10">
        <v>19</v>
      </c>
      <c r="E650" s="10">
        <v>31</v>
      </c>
      <c r="F650" s="10">
        <v>25</v>
      </c>
      <c r="G650" s="10">
        <v>25</v>
      </c>
      <c r="H650" s="10">
        <v>100</v>
      </c>
      <c r="I650" s="10">
        <v>95</v>
      </c>
    </row>
    <row r="651" spans="2:9">
      <c r="B651" s="15">
        <v>46298</v>
      </c>
      <c r="C651" t="s">
        <v>12</v>
      </c>
      <c r="D651" s="10">
        <v>19</v>
      </c>
      <c r="E651" s="10">
        <v>28.615384615384617</v>
      </c>
      <c r="F651" s="10">
        <v>25</v>
      </c>
      <c r="G651" s="10">
        <v>18.181818181818183</v>
      </c>
      <c r="H651" s="10">
        <v>90.7972027972028</v>
      </c>
      <c r="I651" s="10">
        <v>95</v>
      </c>
    </row>
    <row r="652" spans="2:9">
      <c r="B652" s="15">
        <v>46298</v>
      </c>
      <c r="C652" t="s">
        <v>9</v>
      </c>
      <c r="D652" s="10">
        <v>19</v>
      </c>
      <c r="E652" s="10">
        <v>31</v>
      </c>
      <c r="F652" s="10">
        <v>25</v>
      </c>
      <c r="G652" s="10">
        <v>25</v>
      </c>
      <c r="H652" s="10">
        <v>100</v>
      </c>
      <c r="I652" s="10">
        <v>95</v>
      </c>
    </row>
    <row r="653" spans="2:9">
      <c r="B653" s="15">
        <v>46298</v>
      </c>
      <c r="C653" t="s">
        <v>13</v>
      </c>
      <c r="D653" s="10">
        <v>15.833333333333334</v>
      </c>
      <c r="E653" s="10">
        <v>31</v>
      </c>
      <c r="F653" s="10">
        <v>25</v>
      </c>
      <c r="G653" s="10">
        <v>25</v>
      </c>
      <c r="H653" s="10">
        <v>96.833333333333343</v>
      </c>
      <c r="I653" s="10">
        <v>95</v>
      </c>
    </row>
    <row r="654" spans="2:9">
      <c r="B654" s="15">
        <v>46298</v>
      </c>
      <c r="C654" t="s">
        <v>6</v>
      </c>
      <c r="D654" s="10">
        <v>12.666666666666666</v>
      </c>
      <c r="E654" s="10">
        <v>31</v>
      </c>
      <c r="F654" s="10">
        <v>21.875</v>
      </c>
      <c r="G654" s="10">
        <v>22.727272727272727</v>
      </c>
      <c r="H654" s="10">
        <v>88.268939393939377</v>
      </c>
      <c r="I654" s="10">
        <v>95</v>
      </c>
    </row>
    <row r="655" spans="2:9">
      <c r="B655" s="15">
        <v>46298</v>
      </c>
      <c r="C655" t="s">
        <v>14</v>
      </c>
      <c r="D655" s="10">
        <v>15.833333333333334</v>
      </c>
      <c r="E655" s="10">
        <v>31</v>
      </c>
      <c r="F655" s="10">
        <v>18.75</v>
      </c>
      <c r="G655" s="10">
        <v>25</v>
      </c>
      <c r="H655" s="10">
        <v>90.583333333333343</v>
      </c>
      <c r="I655" s="10">
        <v>95</v>
      </c>
    </row>
    <row r="656" spans="2:9">
      <c r="B656" s="15">
        <v>46298</v>
      </c>
      <c r="C656" t="s">
        <v>4</v>
      </c>
      <c r="D656" s="10">
        <v>15.833333333333334</v>
      </c>
      <c r="E656" s="10">
        <v>31</v>
      </c>
      <c r="F656" s="10">
        <v>21.875</v>
      </c>
      <c r="G656" s="10">
        <v>22.727272727272727</v>
      </c>
      <c r="H656" s="10">
        <v>91.435606060606062</v>
      </c>
      <c r="I656" s="10">
        <v>95</v>
      </c>
    </row>
    <row r="657" spans="2:9">
      <c r="B657" s="15">
        <v>46298</v>
      </c>
      <c r="C657" t="s">
        <v>8</v>
      </c>
      <c r="D657" s="10">
        <v>15.833333333333334</v>
      </c>
      <c r="E657" s="10">
        <v>31</v>
      </c>
      <c r="F657" s="10">
        <v>15.625</v>
      </c>
      <c r="G657" s="10">
        <v>22.727272727272727</v>
      </c>
      <c r="H657" s="10">
        <v>85.185606060606062</v>
      </c>
      <c r="I657" s="10">
        <v>95</v>
      </c>
    </row>
    <row r="658" spans="2:9">
      <c r="B658" s="15">
        <v>46298</v>
      </c>
      <c r="C658" t="s">
        <v>15</v>
      </c>
      <c r="D658" s="10">
        <v>19</v>
      </c>
      <c r="E658" s="10">
        <v>31</v>
      </c>
      <c r="F658" s="10">
        <v>25</v>
      </c>
      <c r="G658" s="10">
        <v>22.727272727272727</v>
      </c>
      <c r="H658" s="10">
        <v>97.72727272727272</v>
      </c>
      <c r="I658" s="10">
        <v>95</v>
      </c>
    </row>
    <row r="659" spans="2:9">
      <c r="B659" s="15">
        <v>46298</v>
      </c>
      <c r="C659" t="s">
        <v>16</v>
      </c>
      <c r="D659" s="10">
        <v>19</v>
      </c>
      <c r="E659" s="10">
        <v>31</v>
      </c>
      <c r="F659" s="10">
        <v>18.75</v>
      </c>
      <c r="G659" s="10">
        <v>25</v>
      </c>
      <c r="H659" s="10">
        <v>93.75</v>
      </c>
      <c r="I659" s="10">
        <v>95</v>
      </c>
    </row>
    <row r="660" spans="2:9">
      <c r="B660" s="15">
        <v>46298</v>
      </c>
      <c r="C660" t="s">
        <v>18</v>
      </c>
      <c r="D660" s="10">
        <v>19</v>
      </c>
      <c r="E660" s="10">
        <v>31</v>
      </c>
      <c r="F660" s="10">
        <v>21.875</v>
      </c>
      <c r="G660" s="10">
        <v>25</v>
      </c>
      <c r="H660" s="10">
        <v>96.875</v>
      </c>
      <c r="I660" s="10">
        <v>95</v>
      </c>
    </row>
    <row r="661" spans="2:9">
      <c r="B661" s="15">
        <v>46298</v>
      </c>
      <c r="C661" t="s">
        <v>19</v>
      </c>
      <c r="D661" s="10">
        <v>15.833333333333334</v>
      </c>
      <c r="E661" s="10">
        <v>31</v>
      </c>
      <c r="F661" s="10">
        <v>25</v>
      </c>
      <c r="G661" s="10">
        <v>25</v>
      </c>
      <c r="H661" s="10">
        <v>96.833333333333343</v>
      </c>
      <c r="I661" s="10">
        <v>95</v>
      </c>
    </row>
    <row r="662" spans="2:9">
      <c r="B662" s="15">
        <v>46298</v>
      </c>
      <c r="C662" t="s">
        <v>10</v>
      </c>
      <c r="D662" s="10">
        <v>19</v>
      </c>
      <c r="E662" s="10">
        <v>31</v>
      </c>
      <c r="F662" s="10">
        <v>25</v>
      </c>
      <c r="G662" s="10">
        <v>25</v>
      </c>
      <c r="H662" s="10">
        <v>100</v>
      </c>
      <c r="I662" s="10">
        <v>95</v>
      </c>
    </row>
    <row r="663" spans="2:9">
      <c r="B663" s="15">
        <v>46298</v>
      </c>
      <c r="C663" t="s">
        <v>17</v>
      </c>
      <c r="D663" s="10">
        <v>15.833333333333334</v>
      </c>
      <c r="E663" s="10">
        <v>26.571428571428569</v>
      </c>
      <c r="F663" s="10">
        <v>21.875</v>
      </c>
      <c r="G663" s="10">
        <v>25</v>
      </c>
      <c r="H663" s="10">
        <v>89.279761904761898</v>
      </c>
      <c r="I663" s="10">
        <v>95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B0FA6-69E7-40AD-ABC4-3D553B72DF05}">
  <dimension ref="B2:I19"/>
  <sheetViews>
    <sheetView workbookViewId="0">
      <selection activeCell="I2" sqref="I2:I19"/>
    </sheetView>
  </sheetViews>
  <sheetFormatPr defaultRowHeight="14.5"/>
  <cols>
    <col min="7" max="7" width="10.36328125" bestFit="1" customWidth="1"/>
  </cols>
  <sheetData>
    <row r="2" spans="2:9">
      <c r="B2" s="26" t="s">
        <v>29</v>
      </c>
      <c r="C2" s="27" t="s">
        <v>30</v>
      </c>
      <c r="D2" s="27"/>
      <c r="E2" s="27"/>
      <c r="F2" s="27"/>
      <c r="G2" s="27"/>
      <c r="H2" s="28" t="s">
        <v>41</v>
      </c>
      <c r="I2" s="28" t="s">
        <v>47</v>
      </c>
    </row>
    <row r="3" spans="2:9">
      <c r="B3" s="26"/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28"/>
      <c r="I3" s="28"/>
    </row>
    <row r="4" spans="2:9">
      <c r="B4" s="5">
        <v>46193</v>
      </c>
      <c r="C4" s="6">
        <v>0.03</v>
      </c>
      <c r="D4" s="6">
        <v>0.35</v>
      </c>
      <c r="E4" s="6">
        <v>0.11</v>
      </c>
      <c r="F4" s="6">
        <v>0.2</v>
      </c>
      <c r="G4" s="6">
        <v>0.2</v>
      </c>
      <c r="H4" s="8">
        <f>SUM(C4:G4)</f>
        <v>0.8899999999999999</v>
      </c>
      <c r="I4" s="6">
        <v>0.95</v>
      </c>
    </row>
    <row r="5" spans="2:9">
      <c r="B5" s="5">
        <v>46200</v>
      </c>
      <c r="C5" s="6">
        <v>0.1</v>
      </c>
      <c r="D5" s="6">
        <v>0.23</v>
      </c>
      <c r="E5" s="6">
        <v>0.15</v>
      </c>
      <c r="F5" s="6">
        <v>0.2</v>
      </c>
      <c r="G5" s="6">
        <v>0.2</v>
      </c>
      <c r="H5" s="8">
        <f t="shared" ref="H5:H18" si="0">SUM(C5:G5)</f>
        <v>0.87999999999999989</v>
      </c>
      <c r="I5" s="6">
        <v>0.95</v>
      </c>
    </row>
    <row r="6" spans="2:9">
      <c r="B6" s="3" t="s">
        <v>25</v>
      </c>
      <c r="C6" s="6">
        <v>0.03</v>
      </c>
      <c r="D6" s="6">
        <v>0.35</v>
      </c>
      <c r="E6" s="6">
        <v>0.11</v>
      </c>
      <c r="F6" s="6">
        <v>0.2</v>
      </c>
      <c r="G6" s="6">
        <v>0.1</v>
      </c>
      <c r="H6" s="8">
        <f t="shared" si="0"/>
        <v>0.78999999999999992</v>
      </c>
      <c r="I6" s="6">
        <v>0.95</v>
      </c>
    </row>
    <row r="7" spans="2:9">
      <c r="B7" s="3" t="s">
        <v>26</v>
      </c>
      <c r="C7" s="6">
        <v>0.08</v>
      </c>
      <c r="D7" s="6">
        <v>0.23</v>
      </c>
      <c r="E7" s="6">
        <v>0.15</v>
      </c>
      <c r="F7" s="6">
        <v>0.2</v>
      </c>
      <c r="G7" s="6">
        <v>0.2</v>
      </c>
      <c r="H7" s="8">
        <f t="shared" si="0"/>
        <v>0.85999999999999988</v>
      </c>
      <c r="I7" s="6">
        <v>0.95</v>
      </c>
    </row>
    <row r="8" spans="2:9">
      <c r="B8" s="3" t="s">
        <v>27</v>
      </c>
      <c r="C8" s="6">
        <v>0.1</v>
      </c>
      <c r="D8" s="6">
        <v>0.35</v>
      </c>
      <c r="E8" s="6">
        <v>0.15</v>
      </c>
      <c r="F8" s="6">
        <v>0.2</v>
      </c>
      <c r="G8" s="6">
        <v>0.2</v>
      </c>
      <c r="H8" s="8">
        <f t="shared" si="0"/>
        <v>1</v>
      </c>
      <c r="I8" s="6">
        <v>0.95</v>
      </c>
    </row>
    <row r="9" spans="2:9">
      <c r="B9" s="3" t="s">
        <v>28</v>
      </c>
      <c r="C9" s="6">
        <v>0.08</v>
      </c>
      <c r="D9" s="6">
        <v>0.35</v>
      </c>
      <c r="E9" s="6">
        <v>0.15</v>
      </c>
      <c r="F9" s="6">
        <v>0.2</v>
      </c>
      <c r="G9" s="6">
        <v>0.2</v>
      </c>
      <c r="H9" s="8">
        <f t="shared" si="0"/>
        <v>0.98</v>
      </c>
      <c r="I9" s="6">
        <v>0.95</v>
      </c>
    </row>
    <row r="10" spans="2:9">
      <c r="B10" s="5">
        <v>46235</v>
      </c>
      <c r="C10" s="6">
        <v>0.1</v>
      </c>
      <c r="D10" s="6">
        <v>0.23</v>
      </c>
      <c r="E10" s="6">
        <v>0.15</v>
      </c>
      <c r="F10" s="6">
        <v>0.2</v>
      </c>
      <c r="G10" s="6">
        <v>0.2</v>
      </c>
      <c r="H10" s="8">
        <f t="shared" si="0"/>
        <v>0.87999999999999989</v>
      </c>
      <c r="I10" s="6">
        <v>0.95</v>
      </c>
    </row>
    <row r="11" spans="2:9">
      <c r="B11" s="5">
        <v>46242</v>
      </c>
      <c r="C11" s="6">
        <v>7.0000000000000007E-2</v>
      </c>
      <c r="D11" s="6">
        <v>0.23</v>
      </c>
      <c r="E11" s="6">
        <v>0.08</v>
      </c>
      <c r="F11" s="6">
        <v>0.2</v>
      </c>
      <c r="G11" s="6">
        <v>0.2</v>
      </c>
      <c r="H11" s="8">
        <f t="shared" si="0"/>
        <v>0.78</v>
      </c>
      <c r="I11" s="6">
        <v>0.95</v>
      </c>
    </row>
    <row r="12" spans="2:9">
      <c r="B12" s="5">
        <v>46249</v>
      </c>
      <c r="C12" s="6">
        <v>0.1</v>
      </c>
      <c r="D12" s="6">
        <v>0.35</v>
      </c>
      <c r="E12" s="6">
        <v>0.15</v>
      </c>
      <c r="F12" s="6">
        <v>0.13</v>
      </c>
      <c r="G12" s="6">
        <v>0.2</v>
      </c>
      <c r="H12" s="8">
        <f t="shared" si="0"/>
        <v>0.92999999999999994</v>
      </c>
      <c r="I12" s="6">
        <v>0.95</v>
      </c>
    </row>
    <row r="13" spans="2:9">
      <c r="B13" s="5">
        <v>46256</v>
      </c>
      <c r="C13" s="6">
        <v>7.0000000000000007E-2</v>
      </c>
      <c r="D13" s="6">
        <v>0.35</v>
      </c>
      <c r="E13" s="6">
        <v>0.15</v>
      </c>
      <c r="F13" s="6">
        <v>0.2</v>
      </c>
      <c r="G13" s="6">
        <v>0.13</v>
      </c>
      <c r="H13" s="8">
        <f t="shared" si="0"/>
        <v>0.9</v>
      </c>
      <c r="I13" s="6">
        <v>0.95</v>
      </c>
    </row>
    <row r="14" spans="2:9">
      <c r="B14" s="5">
        <v>46263</v>
      </c>
      <c r="C14" s="6">
        <v>7.0000000000000007E-2</v>
      </c>
      <c r="D14" s="6">
        <v>0.35</v>
      </c>
      <c r="E14" s="6">
        <v>0.15</v>
      </c>
      <c r="F14" s="6">
        <v>0.2</v>
      </c>
      <c r="G14" s="6">
        <v>0.13</v>
      </c>
      <c r="H14" s="8">
        <f t="shared" si="0"/>
        <v>0.9</v>
      </c>
      <c r="I14" s="6">
        <v>0.95</v>
      </c>
    </row>
    <row r="15" spans="2:9">
      <c r="B15" s="5">
        <v>46270</v>
      </c>
      <c r="C15" s="6">
        <v>0.08</v>
      </c>
      <c r="D15" s="6">
        <v>0.35</v>
      </c>
      <c r="E15" s="6">
        <v>0.11</v>
      </c>
      <c r="F15" s="6">
        <v>0.2</v>
      </c>
      <c r="G15" s="6">
        <v>0.2</v>
      </c>
      <c r="H15" s="8">
        <f t="shared" si="0"/>
        <v>0.94</v>
      </c>
      <c r="I15" s="6">
        <v>0.95</v>
      </c>
    </row>
    <row r="16" spans="2:9">
      <c r="B16" s="5">
        <v>46277</v>
      </c>
      <c r="C16" s="6">
        <v>7.0000000000000007E-2</v>
      </c>
      <c r="D16" s="6">
        <v>0.35</v>
      </c>
      <c r="E16" s="6">
        <v>0.11</v>
      </c>
      <c r="F16" s="6">
        <v>0.2</v>
      </c>
      <c r="G16" s="6">
        <v>0.2</v>
      </c>
      <c r="H16" s="8">
        <f t="shared" si="0"/>
        <v>0.92999999999999994</v>
      </c>
      <c r="I16" s="6">
        <v>0.95</v>
      </c>
    </row>
    <row r="17" spans="2:9">
      <c r="B17" s="5">
        <v>46284</v>
      </c>
      <c r="C17" s="6">
        <v>0.05</v>
      </c>
      <c r="D17" s="6">
        <v>0.35</v>
      </c>
      <c r="E17" s="6">
        <v>0.11</v>
      </c>
      <c r="F17" s="6">
        <v>0.2</v>
      </c>
      <c r="G17" s="6">
        <v>0.2</v>
      </c>
      <c r="H17" s="8">
        <f t="shared" si="0"/>
        <v>0.90999999999999992</v>
      </c>
      <c r="I17" s="6">
        <v>0.95</v>
      </c>
    </row>
    <row r="18" spans="2:9">
      <c r="B18" s="5">
        <v>46291</v>
      </c>
      <c r="C18" s="6">
        <v>0.08</v>
      </c>
      <c r="D18" s="6">
        <v>0.35</v>
      </c>
      <c r="E18" s="6">
        <v>0.11</v>
      </c>
      <c r="F18" s="6">
        <v>0.2</v>
      </c>
      <c r="G18" s="6">
        <v>0.2</v>
      </c>
      <c r="H18" s="8">
        <f t="shared" si="0"/>
        <v>0.94</v>
      </c>
      <c r="I18" s="6">
        <v>0.95</v>
      </c>
    </row>
    <row r="19" spans="2:9">
      <c r="B19" s="5">
        <v>46298</v>
      </c>
      <c r="C19" s="23">
        <v>0.35</v>
      </c>
      <c r="D19" s="23">
        <v>0.11249999999999999</v>
      </c>
      <c r="E19" s="23">
        <v>0.1</v>
      </c>
      <c r="F19" s="23">
        <v>0.2</v>
      </c>
      <c r="G19" s="23">
        <v>0.13333333333333333</v>
      </c>
      <c r="H19" s="6">
        <f>SUM(C19:G19)</f>
        <v>0.89583333333333326</v>
      </c>
      <c r="I19" s="6">
        <v>0.95</v>
      </c>
    </row>
  </sheetData>
  <mergeCells count="4">
    <mergeCell ref="B2:B3"/>
    <mergeCell ref="C2:G2"/>
    <mergeCell ref="H2:H3"/>
    <mergeCell ref="I2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BD8DF-B26C-455C-B5F2-7F28D9B61012}">
  <dimension ref="B1:I17"/>
  <sheetViews>
    <sheetView workbookViewId="0">
      <selection activeCell="I1" sqref="I1:I17"/>
    </sheetView>
  </sheetViews>
  <sheetFormatPr defaultRowHeight="14.5"/>
  <cols>
    <col min="7" max="7" width="10.36328125" bestFit="1" customWidth="1"/>
  </cols>
  <sheetData>
    <row r="1" spans="2:9">
      <c r="B1" s="26" t="s">
        <v>29</v>
      </c>
      <c r="C1" s="27" t="s">
        <v>30</v>
      </c>
      <c r="D1" s="27"/>
      <c r="E1" s="27"/>
      <c r="F1" s="27"/>
      <c r="G1" s="27"/>
      <c r="H1" s="28" t="s">
        <v>41</v>
      </c>
      <c r="I1" s="28" t="s">
        <v>48</v>
      </c>
    </row>
    <row r="2" spans="2:9">
      <c r="B2" s="26"/>
      <c r="C2" s="4" t="s">
        <v>20</v>
      </c>
      <c r="D2" s="4" t="s">
        <v>21</v>
      </c>
      <c r="E2" s="4" t="s">
        <v>22</v>
      </c>
      <c r="F2" s="4" t="s">
        <v>23</v>
      </c>
      <c r="G2" s="4" t="s">
        <v>24</v>
      </c>
      <c r="H2" s="28"/>
      <c r="I2" s="28"/>
    </row>
    <row r="3" spans="2:9">
      <c r="B3" s="7">
        <v>46193</v>
      </c>
      <c r="C3" s="8">
        <v>7.0000000000000007E-2</v>
      </c>
      <c r="D3" s="8">
        <v>0.35</v>
      </c>
      <c r="E3" s="8">
        <v>0.11</v>
      </c>
      <c r="F3" s="8">
        <v>0.2</v>
      </c>
      <c r="G3" s="8">
        <v>0.2</v>
      </c>
      <c r="H3" s="8">
        <f>SUM(C3:G3)</f>
        <v>0.92999999999999994</v>
      </c>
      <c r="I3" s="8">
        <v>0.95</v>
      </c>
    </row>
    <row r="4" spans="2:9">
      <c r="B4" s="7">
        <v>46200</v>
      </c>
      <c r="C4" s="8">
        <v>0.1</v>
      </c>
      <c r="D4" s="8">
        <v>0.35</v>
      </c>
      <c r="E4" s="8">
        <v>0.15</v>
      </c>
      <c r="F4" s="8">
        <v>0.2</v>
      </c>
      <c r="G4" s="8">
        <v>0.2</v>
      </c>
      <c r="H4" s="8">
        <f t="shared" ref="H4:H17" si="0">SUM(C4:G4)</f>
        <v>1</v>
      </c>
      <c r="I4" s="8">
        <v>0.95</v>
      </c>
    </row>
    <row r="5" spans="2:9">
      <c r="B5" s="7">
        <v>46207</v>
      </c>
      <c r="C5" s="8">
        <v>0.08</v>
      </c>
      <c r="D5" s="8">
        <v>0.35</v>
      </c>
      <c r="E5" s="8">
        <v>0.15</v>
      </c>
      <c r="F5" s="8">
        <v>0.2</v>
      </c>
      <c r="G5" s="8">
        <v>0.2</v>
      </c>
      <c r="H5" s="8">
        <f t="shared" si="0"/>
        <v>0.98</v>
      </c>
      <c r="I5" s="8">
        <v>0.95</v>
      </c>
    </row>
    <row r="6" spans="2:9">
      <c r="B6" s="7">
        <v>46214</v>
      </c>
      <c r="C6" s="8">
        <v>0.08</v>
      </c>
      <c r="D6" s="8">
        <v>0.35</v>
      </c>
      <c r="E6" s="8">
        <v>0.15</v>
      </c>
      <c r="F6" s="8">
        <v>0.2</v>
      </c>
      <c r="G6" s="8">
        <v>0.2</v>
      </c>
      <c r="H6" s="8">
        <f t="shared" si="0"/>
        <v>0.98</v>
      </c>
      <c r="I6" s="8">
        <v>0.95</v>
      </c>
    </row>
    <row r="7" spans="2:9">
      <c r="B7" s="7">
        <v>46221</v>
      </c>
      <c r="C7" s="8">
        <v>0.1</v>
      </c>
      <c r="D7" s="8">
        <v>0.35</v>
      </c>
      <c r="E7" s="8">
        <v>0.15</v>
      </c>
      <c r="F7" s="8">
        <v>0.2</v>
      </c>
      <c r="G7" s="8">
        <v>0.2</v>
      </c>
      <c r="H7" s="8">
        <f t="shared" si="0"/>
        <v>1</v>
      </c>
      <c r="I7" s="8">
        <v>0.95</v>
      </c>
    </row>
    <row r="8" spans="2:9">
      <c r="B8" s="7">
        <v>46228</v>
      </c>
      <c r="C8" s="8">
        <v>0.1</v>
      </c>
      <c r="D8" s="8">
        <v>0.35</v>
      </c>
      <c r="E8" s="8">
        <v>0.15</v>
      </c>
      <c r="F8" s="8">
        <v>0.2</v>
      </c>
      <c r="G8" s="8">
        <v>0.2</v>
      </c>
      <c r="H8" s="8">
        <f t="shared" si="0"/>
        <v>1</v>
      </c>
      <c r="I8" s="8">
        <v>0.95</v>
      </c>
    </row>
    <row r="9" spans="2:9">
      <c r="B9" s="7">
        <v>46242</v>
      </c>
      <c r="C9" s="8">
        <v>0.1</v>
      </c>
      <c r="D9" s="8">
        <v>0.35</v>
      </c>
      <c r="E9" s="8">
        <v>0.15</v>
      </c>
      <c r="F9" s="8">
        <v>0.2</v>
      </c>
      <c r="G9" s="8">
        <v>0.2</v>
      </c>
      <c r="H9" s="8">
        <f t="shared" si="0"/>
        <v>1</v>
      </c>
      <c r="I9" s="8">
        <v>0.95</v>
      </c>
    </row>
    <row r="10" spans="2:9">
      <c r="B10" s="7">
        <v>46249</v>
      </c>
      <c r="C10" s="8">
        <v>0.1</v>
      </c>
      <c r="D10" s="8">
        <v>0.35</v>
      </c>
      <c r="E10" s="8">
        <v>0.15</v>
      </c>
      <c r="F10" s="8">
        <v>0.2</v>
      </c>
      <c r="G10" s="8">
        <v>0.2</v>
      </c>
      <c r="H10" s="8">
        <f t="shared" si="0"/>
        <v>1</v>
      </c>
      <c r="I10" s="8">
        <v>0.95</v>
      </c>
    </row>
    <row r="11" spans="2:9">
      <c r="B11" s="7">
        <v>46256</v>
      </c>
      <c r="C11" s="8">
        <v>0.08</v>
      </c>
      <c r="D11" s="8">
        <v>0.35</v>
      </c>
      <c r="E11" s="8">
        <v>0.15</v>
      </c>
      <c r="F11" s="8">
        <v>0.2</v>
      </c>
      <c r="G11" s="8">
        <v>0.2</v>
      </c>
      <c r="H11" s="8">
        <f t="shared" si="0"/>
        <v>0.98</v>
      </c>
      <c r="I11" s="8">
        <v>0.95</v>
      </c>
    </row>
    <row r="12" spans="2:9">
      <c r="B12" s="7">
        <v>46263</v>
      </c>
      <c r="C12" s="8">
        <v>0.1</v>
      </c>
      <c r="D12" s="8">
        <v>0.35</v>
      </c>
      <c r="E12" s="8">
        <v>0.15</v>
      </c>
      <c r="F12" s="8">
        <v>0.2</v>
      </c>
      <c r="G12" s="8">
        <v>0.2</v>
      </c>
      <c r="H12" s="8">
        <f t="shared" si="0"/>
        <v>1</v>
      </c>
      <c r="I12" s="8">
        <v>0.95</v>
      </c>
    </row>
    <row r="13" spans="2:9">
      <c r="B13" s="7">
        <v>46270</v>
      </c>
      <c r="C13" s="8">
        <v>7.0000000000000007E-2</v>
      </c>
      <c r="D13" s="8">
        <v>0.35</v>
      </c>
      <c r="E13" s="8">
        <v>0.15</v>
      </c>
      <c r="F13" s="8">
        <v>0.13</v>
      </c>
      <c r="G13" s="8">
        <v>0.2</v>
      </c>
      <c r="H13" s="8">
        <f t="shared" si="0"/>
        <v>0.89999999999999991</v>
      </c>
      <c r="I13" s="8">
        <v>0.95</v>
      </c>
    </row>
    <row r="14" spans="2:9">
      <c r="B14" s="7">
        <v>46277</v>
      </c>
      <c r="C14" s="8">
        <v>0.1</v>
      </c>
      <c r="D14" s="8">
        <v>0.35</v>
      </c>
      <c r="E14" s="8">
        <v>0.11</v>
      </c>
      <c r="F14" s="8">
        <v>0.2</v>
      </c>
      <c r="G14" s="8">
        <v>0.2</v>
      </c>
      <c r="H14" s="8">
        <f t="shared" si="0"/>
        <v>0.96</v>
      </c>
      <c r="I14" s="8">
        <v>0.95</v>
      </c>
    </row>
    <row r="15" spans="2:9">
      <c r="B15" s="7">
        <v>46284</v>
      </c>
      <c r="C15" s="8">
        <v>7.0000000000000007E-2</v>
      </c>
      <c r="D15" s="8">
        <v>0.35</v>
      </c>
      <c r="E15" s="8">
        <v>0.11</v>
      </c>
      <c r="F15" s="8">
        <v>0.2</v>
      </c>
      <c r="G15" s="8">
        <v>0.2</v>
      </c>
      <c r="H15" s="8">
        <f t="shared" si="0"/>
        <v>0.92999999999999994</v>
      </c>
      <c r="I15" s="8">
        <v>0.95</v>
      </c>
    </row>
    <row r="16" spans="2:9">
      <c r="B16" s="7">
        <v>46291</v>
      </c>
      <c r="C16" s="8">
        <v>0.08</v>
      </c>
      <c r="D16" s="8">
        <v>0.35</v>
      </c>
      <c r="E16" s="8">
        <v>0.15</v>
      </c>
      <c r="F16" s="8">
        <v>0.2</v>
      </c>
      <c r="G16" s="8">
        <v>0.2</v>
      </c>
      <c r="H16" s="8">
        <f t="shared" si="0"/>
        <v>0.98</v>
      </c>
      <c r="I16" s="8">
        <v>0.95</v>
      </c>
    </row>
    <row r="17" spans="2:9">
      <c r="B17" s="7">
        <v>46298</v>
      </c>
      <c r="C17" s="22">
        <v>0.35</v>
      </c>
      <c r="D17" s="22">
        <v>0.11249999999999999</v>
      </c>
      <c r="E17" s="22">
        <v>6.6666666666666666E-2</v>
      </c>
      <c r="F17" s="22">
        <v>0.2</v>
      </c>
      <c r="G17" s="22">
        <v>0.2</v>
      </c>
      <c r="H17" s="8">
        <f t="shared" si="0"/>
        <v>0.9291666666666667</v>
      </c>
      <c r="I17" s="8">
        <v>0.95</v>
      </c>
    </row>
  </sheetData>
  <mergeCells count="4">
    <mergeCell ref="B1:B2"/>
    <mergeCell ref="C1:G1"/>
    <mergeCell ref="H1:H2"/>
    <mergeCell ref="I1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976D7-899D-4B4C-803F-81F7DED17417}">
  <dimension ref="B2:I15"/>
  <sheetViews>
    <sheetView workbookViewId="0">
      <selection activeCell="I2" sqref="I2:I15"/>
    </sheetView>
  </sheetViews>
  <sheetFormatPr defaultRowHeight="14.5"/>
  <cols>
    <col min="2" max="2" width="9.453125" bestFit="1" customWidth="1"/>
  </cols>
  <sheetData>
    <row r="2" spans="2:9">
      <c r="B2" s="26" t="s">
        <v>29</v>
      </c>
      <c r="C2" s="27" t="s">
        <v>30</v>
      </c>
      <c r="D2" s="27"/>
      <c r="E2" s="27"/>
      <c r="F2" s="27"/>
      <c r="G2" s="27"/>
      <c r="H2" s="28" t="s">
        <v>41</v>
      </c>
      <c r="I2" s="28" t="s">
        <v>47</v>
      </c>
    </row>
    <row r="3" spans="2:9">
      <c r="B3" s="26"/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28"/>
      <c r="I3" s="28"/>
    </row>
    <row r="4" spans="2:9">
      <c r="B4" s="9">
        <v>46144</v>
      </c>
      <c r="C4" s="6">
        <v>0.1</v>
      </c>
      <c r="D4" s="6">
        <v>0.35</v>
      </c>
      <c r="E4" s="6">
        <v>0.15</v>
      </c>
      <c r="F4" s="6">
        <v>0.2</v>
      </c>
      <c r="G4" s="6">
        <v>0.13</v>
      </c>
      <c r="H4" s="8">
        <f>SUM(C4:G4)</f>
        <v>0.93</v>
      </c>
      <c r="I4" s="6">
        <v>0.95</v>
      </c>
    </row>
    <row r="5" spans="2:9">
      <c r="B5" s="9">
        <v>46158</v>
      </c>
      <c r="C5" s="6">
        <v>0.1</v>
      </c>
      <c r="D5" s="6">
        <v>0.35</v>
      </c>
      <c r="E5" s="6">
        <v>0.15</v>
      </c>
      <c r="F5" s="6">
        <v>0.2</v>
      </c>
      <c r="G5" s="6">
        <v>0.2</v>
      </c>
      <c r="H5" s="8">
        <f t="shared" ref="H5:H15" si="0">SUM(C5:G5)</f>
        <v>1</v>
      </c>
      <c r="I5" s="6">
        <v>0.95</v>
      </c>
    </row>
    <row r="6" spans="2:9">
      <c r="B6" s="9">
        <v>46172</v>
      </c>
      <c r="C6" s="6">
        <v>0.1</v>
      </c>
      <c r="D6" s="6">
        <v>0.35</v>
      </c>
      <c r="E6" s="6">
        <v>0.15</v>
      </c>
      <c r="F6" s="6">
        <v>0.2</v>
      </c>
      <c r="G6" s="6">
        <v>0.2</v>
      </c>
      <c r="H6" s="8">
        <f t="shared" si="0"/>
        <v>1</v>
      </c>
      <c r="I6" s="6">
        <v>0.95</v>
      </c>
    </row>
    <row r="7" spans="2:9">
      <c r="B7" s="9">
        <v>46186</v>
      </c>
      <c r="C7" s="6">
        <v>0.1</v>
      </c>
      <c r="D7" s="6">
        <v>0.18</v>
      </c>
      <c r="E7" s="6">
        <v>0.15</v>
      </c>
      <c r="F7" s="6">
        <v>0.2</v>
      </c>
      <c r="G7" s="6">
        <v>0.2</v>
      </c>
      <c r="H7" s="8">
        <f t="shared" si="0"/>
        <v>0.83000000000000007</v>
      </c>
      <c r="I7" s="6">
        <v>0.95</v>
      </c>
    </row>
    <row r="8" spans="2:9">
      <c r="B8" s="9">
        <v>46200</v>
      </c>
      <c r="C8" s="6">
        <v>0.1</v>
      </c>
      <c r="D8" s="6">
        <v>0.35</v>
      </c>
      <c r="E8" s="6">
        <v>0.15</v>
      </c>
      <c r="F8" s="6">
        <v>0.2</v>
      </c>
      <c r="G8" s="6">
        <v>0.2</v>
      </c>
      <c r="H8" s="8">
        <f t="shared" si="0"/>
        <v>1</v>
      </c>
      <c r="I8" s="6">
        <v>0.95</v>
      </c>
    </row>
    <row r="9" spans="2:9">
      <c r="B9" s="9">
        <v>46214</v>
      </c>
      <c r="C9" s="6">
        <v>0.1</v>
      </c>
      <c r="D9" s="6">
        <v>0.35</v>
      </c>
      <c r="E9" s="6">
        <v>0.15</v>
      </c>
      <c r="F9" s="6">
        <v>0.2</v>
      </c>
      <c r="G9" s="6">
        <v>0.2</v>
      </c>
      <c r="H9" s="8">
        <f t="shared" si="0"/>
        <v>1</v>
      </c>
      <c r="I9" s="6">
        <v>0.95</v>
      </c>
    </row>
    <row r="10" spans="2:9">
      <c r="B10" s="9">
        <v>46228</v>
      </c>
      <c r="C10" s="6">
        <v>0.08</v>
      </c>
      <c r="D10" s="6">
        <v>0.35</v>
      </c>
      <c r="E10" s="6">
        <v>0.11</v>
      </c>
      <c r="F10" s="6">
        <v>0.2</v>
      </c>
      <c r="G10" s="6">
        <v>0.2</v>
      </c>
      <c r="H10" s="8">
        <f t="shared" si="0"/>
        <v>0.94</v>
      </c>
      <c r="I10" s="6">
        <v>0.95</v>
      </c>
    </row>
    <row r="11" spans="2:9">
      <c r="B11" s="9">
        <v>46242</v>
      </c>
      <c r="C11" s="6">
        <v>0.08</v>
      </c>
      <c r="D11" s="6">
        <v>0.35</v>
      </c>
      <c r="E11" s="6">
        <v>0.11</v>
      </c>
      <c r="F11" s="6">
        <v>0.2</v>
      </c>
      <c r="G11" s="6">
        <v>0.2</v>
      </c>
      <c r="H11" s="8">
        <f t="shared" si="0"/>
        <v>0.94</v>
      </c>
      <c r="I11" s="6">
        <v>0.95</v>
      </c>
    </row>
    <row r="12" spans="2:9">
      <c r="B12" s="9">
        <v>46256</v>
      </c>
      <c r="C12" s="6">
        <v>0.1</v>
      </c>
      <c r="D12" s="6">
        <v>0.35</v>
      </c>
      <c r="E12" s="6">
        <v>0.15</v>
      </c>
      <c r="F12" s="6">
        <v>0.2</v>
      </c>
      <c r="G12" s="6">
        <v>0.2</v>
      </c>
      <c r="H12" s="8">
        <f t="shared" si="0"/>
        <v>1</v>
      </c>
      <c r="I12" s="6">
        <v>0.95</v>
      </c>
    </row>
    <row r="13" spans="2:9">
      <c r="B13" s="9">
        <v>46270</v>
      </c>
      <c r="C13" s="6">
        <v>0.08</v>
      </c>
      <c r="D13" s="6">
        <v>0.35</v>
      </c>
      <c r="E13" s="6">
        <v>0.08</v>
      </c>
      <c r="F13" s="6">
        <v>0.2</v>
      </c>
      <c r="G13" s="6">
        <v>0.13</v>
      </c>
      <c r="H13" s="8">
        <f t="shared" si="0"/>
        <v>0.84</v>
      </c>
      <c r="I13" s="6">
        <v>0.95</v>
      </c>
    </row>
    <row r="14" spans="2:9">
      <c r="B14" s="9">
        <v>46284</v>
      </c>
      <c r="C14" s="6">
        <v>0.1</v>
      </c>
      <c r="D14" s="6">
        <v>0.35</v>
      </c>
      <c r="E14" s="6">
        <v>0.15</v>
      </c>
      <c r="F14" s="6">
        <v>0.2</v>
      </c>
      <c r="G14" s="6">
        <v>0.2</v>
      </c>
      <c r="H14" s="8">
        <f t="shared" si="0"/>
        <v>1</v>
      </c>
      <c r="I14" s="6">
        <v>0.95</v>
      </c>
    </row>
    <row r="15" spans="2:9">
      <c r="B15" s="9">
        <v>46298</v>
      </c>
      <c r="C15" s="23">
        <v>0.17499999999999999</v>
      </c>
      <c r="D15" s="23">
        <v>0.15</v>
      </c>
      <c r="E15" s="23">
        <v>0.1</v>
      </c>
      <c r="F15" s="23">
        <v>0.2</v>
      </c>
      <c r="G15" s="23">
        <v>0.13333333333333333</v>
      </c>
      <c r="H15" s="6">
        <f t="shared" si="0"/>
        <v>0.7583333333333333</v>
      </c>
      <c r="I15" s="6">
        <v>0.95</v>
      </c>
    </row>
  </sheetData>
  <mergeCells count="4">
    <mergeCell ref="C2:G2"/>
    <mergeCell ref="B2:B3"/>
    <mergeCell ref="H2:H3"/>
    <mergeCell ref="I2:I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BCF8B-7738-4299-973F-7D943AAF7F27}">
  <dimension ref="B2:G16"/>
  <sheetViews>
    <sheetView topLeftCell="A2" workbookViewId="0">
      <selection activeCell="G2" sqref="G2:G3"/>
    </sheetView>
  </sheetViews>
  <sheetFormatPr defaultRowHeight="14.5"/>
  <cols>
    <col min="2" max="2" width="14.54296875" bestFit="1" customWidth="1"/>
    <col min="3" max="3" width="7" bestFit="1" customWidth="1"/>
    <col min="4" max="4" width="10.36328125" bestFit="1" customWidth="1"/>
    <col min="5" max="5" width="5.90625" bestFit="1" customWidth="1"/>
  </cols>
  <sheetData>
    <row r="2" spans="2:7">
      <c r="B2" s="26" t="s">
        <v>29</v>
      </c>
      <c r="C2" s="26" t="s">
        <v>30</v>
      </c>
      <c r="D2" s="26"/>
      <c r="E2" s="26"/>
      <c r="F2" s="28" t="s">
        <v>41</v>
      </c>
      <c r="G2" s="28" t="s">
        <v>48</v>
      </c>
    </row>
    <row r="3" spans="2:7">
      <c r="B3" s="26"/>
      <c r="C3" s="3" t="s">
        <v>31</v>
      </c>
      <c r="D3" s="3" t="s">
        <v>24</v>
      </c>
      <c r="E3" s="3" t="s">
        <v>22</v>
      </c>
      <c r="F3" s="28"/>
      <c r="G3" s="28"/>
    </row>
    <row r="4" spans="2:7">
      <c r="B4" s="9">
        <v>46207</v>
      </c>
      <c r="C4" s="6">
        <v>0.35</v>
      </c>
      <c r="D4" s="6">
        <v>0.4</v>
      </c>
      <c r="E4" s="6">
        <v>0.25</v>
      </c>
      <c r="F4" s="8">
        <f>SUM(C4:E4)</f>
        <v>1</v>
      </c>
      <c r="G4" s="6">
        <v>0.95</v>
      </c>
    </row>
    <row r="5" spans="2:7">
      <c r="B5" s="9">
        <v>46214</v>
      </c>
      <c r="C5" s="6">
        <v>0.35</v>
      </c>
      <c r="D5" s="6">
        <v>0.4</v>
      </c>
      <c r="E5" s="6">
        <v>0.25</v>
      </c>
      <c r="F5" s="8">
        <f t="shared" ref="F5:F15" si="0">SUM(C5:E5)</f>
        <v>1</v>
      </c>
      <c r="G5" s="6">
        <v>0.95</v>
      </c>
    </row>
    <row r="6" spans="2:7">
      <c r="B6" s="9">
        <v>46228</v>
      </c>
      <c r="C6" s="6">
        <v>0.35</v>
      </c>
      <c r="D6" s="6">
        <v>0.3</v>
      </c>
      <c r="E6" s="6">
        <v>0.25</v>
      </c>
      <c r="F6" s="8">
        <f t="shared" si="0"/>
        <v>0.89999999999999991</v>
      </c>
      <c r="G6" s="6">
        <v>0.95</v>
      </c>
    </row>
    <row r="7" spans="2:7">
      <c r="B7" s="9">
        <v>46235</v>
      </c>
      <c r="C7" s="6">
        <v>0.35</v>
      </c>
      <c r="D7" s="6">
        <v>0.3</v>
      </c>
      <c r="E7" s="6">
        <v>0.25</v>
      </c>
      <c r="F7" s="8">
        <f t="shared" si="0"/>
        <v>0.89999999999999991</v>
      </c>
      <c r="G7" s="6">
        <v>0.95</v>
      </c>
    </row>
    <row r="8" spans="2:7">
      <c r="B8" s="9">
        <v>46242</v>
      </c>
      <c r="C8" s="6">
        <v>0.35</v>
      </c>
      <c r="D8" s="6">
        <v>0.2</v>
      </c>
      <c r="E8" s="6">
        <v>0.25</v>
      </c>
      <c r="F8" s="8">
        <f t="shared" si="0"/>
        <v>0.8</v>
      </c>
      <c r="G8" s="6">
        <v>0.95</v>
      </c>
    </row>
    <row r="9" spans="2:7">
      <c r="B9" s="9">
        <v>46249</v>
      </c>
      <c r="C9" s="6">
        <v>0.35</v>
      </c>
      <c r="D9" s="6">
        <v>0.4</v>
      </c>
      <c r="E9" s="6">
        <v>0.25</v>
      </c>
      <c r="F9" s="8">
        <f t="shared" si="0"/>
        <v>1</v>
      </c>
      <c r="G9" s="6">
        <v>0.95</v>
      </c>
    </row>
    <row r="10" spans="2:7">
      <c r="B10" s="9">
        <v>46256</v>
      </c>
      <c r="C10" s="6">
        <v>0.35</v>
      </c>
      <c r="D10" s="6">
        <v>0.4</v>
      </c>
      <c r="E10" s="6">
        <v>0.25</v>
      </c>
      <c r="F10" s="8">
        <f t="shared" si="0"/>
        <v>1</v>
      </c>
      <c r="G10" s="6">
        <v>0.95</v>
      </c>
    </row>
    <row r="11" spans="2:7">
      <c r="B11" s="9">
        <v>46263</v>
      </c>
      <c r="C11" s="6">
        <v>0.35</v>
      </c>
      <c r="D11" s="6">
        <v>0.4</v>
      </c>
      <c r="E11" s="6">
        <v>0.25</v>
      </c>
      <c r="F11" s="8">
        <f t="shared" si="0"/>
        <v>1</v>
      </c>
      <c r="G11" s="6">
        <v>0.95</v>
      </c>
    </row>
    <row r="12" spans="2:7">
      <c r="B12" s="9">
        <v>46270</v>
      </c>
      <c r="C12" s="6">
        <v>0.35</v>
      </c>
      <c r="D12" s="6">
        <v>0.4</v>
      </c>
      <c r="E12" s="6">
        <v>0.25</v>
      </c>
      <c r="F12" s="8">
        <f t="shared" si="0"/>
        <v>1</v>
      </c>
      <c r="G12" s="6">
        <v>0.95</v>
      </c>
    </row>
    <row r="13" spans="2:7">
      <c r="B13" s="9">
        <v>46277</v>
      </c>
      <c r="C13" s="6">
        <v>0.35</v>
      </c>
      <c r="D13" s="6">
        <v>0.4</v>
      </c>
      <c r="E13" s="6">
        <v>0.17</v>
      </c>
      <c r="F13" s="8">
        <f t="shared" si="0"/>
        <v>0.92</v>
      </c>
      <c r="G13" s="6">
        <v>0.95</v>
      </c>
    </row>
    <row r="14" spans="2:7">
      <c r="B14" s="9">
        <v>46284</v>
      </c>
      <c r="C14" s="6">
        <v>0.35</v>
      </c>
      <c r="D14" s="6">
        <v>0.3</v>
      </c>
      <c r="E14" s="6">
        <v>0.2</v>
      </c>
      <c r="F14" s="8">
        <f t="shared" si="0"/>
        <v>0.84999999999999987</v>
      </c>
      <c r="G14" s="6">
        <v>0.95</v>
      </c>
    </row>
    <row r="15" spans="2:7">
      <c r="B15" s="9">
        <v>46291</v>
      </c>
      <c r="C15" s="6">
        <v>0.35</v>
      </c>
      <c r="D15" s="6">
        <v>0.4</v>
      </c>
      <c r="E15" s="6">
        <v>0.25</v>
      </c>
      <c r="F15" s="8">
        <f t="shared" si="0"/>
        <v>1</v>
      </c>
      <c r="G15" s="6">
        <v>0.95</v>
      </c>
    </row>
    <row r="16" spans="2:7">
      <c r="B16" s="9">
        <v>46298</v>
      </c>
      <c r="C16" s="6">
        <v>0.35</v>
      </c>
      <c r="D16" s="6">
        <v>0.4</v>
      </c>
      <c r="E16" s="6">
        <v>0.25</v>
      </c>
      <c r="F16" s="8">
        <f t="shared" ref="F16" si="1">SUM(C16:E16)</f>
        <v>1</v>
      </c>
      <c r="G16" s="6">
        <v>0.95</v>
      </c>
    </row>
  </sheetData>
  <mergeCells count="4">
    <mergeCell ref="C2:E2"/>
    <mergeCell ref="B2:B3"/>
    <mergeCell ref="F2:F3"/>
    <mergeCell ref="G2:G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B646D-3680-4200-968C-4D0F9B6BB07C}">
  <dimension ref="B2:D21"/>
  <sheetViews>
    <sheetView topLeftCell="A2" workbookViewId="0">
      <selection activeCell="E16" sqref="E16"/>
    </sheetView>
  </sheetViews>
  <sheetFormatPr defaultRowHeight="14.5"/>
  <cols>
    <col min="2" max="2" width="13.6328125" bestFit="1" customWidth="1"/>
    <col min="4" max="4" width="12.1796875" bestFit="1" customWidth="1"/>
  </cols>
  <sheetData>
    <row r="2" spans="2:4">
      <c r="B2" s="3" t="s">
        <v>29</v>
      </c>
      <c r="C2" s="3" t="s">
        <v>41</v>
      </c>
      <c r="D2" s="3" t="s">
        <v>47</v>
      </c>
    </row>
    <row r="3" spans="2:4">
      <c r="B3" s="9">
        <v>46032</v>
      </c>
      <c r="C3" s="6">
        <v>1</v>
      </c>
      <c r="D3" s="3">
        <v>95</v>
      </c>
    </row>
    <row r="4" spans="2:4">
      <c r="B4" s="9">
        <v>46046</v>
      </c>
      <c r="C4" s="6">
        <v>1</v>
      </c>
      <c r="D4" s="3">
        <v>95</v>
      </c>
    </row>
    <row r="5" spans="2:4">
      <c r="B5" s="9">
        <v>46060</v>
      </c>
      <c r="C5" s="6">
        <v>1</v>
      </c>
      <c r="D5" s="3">
        <v>95</v>
      </c>
    </row>
    <row r="6" spans="2:4">
      <c r="B6" s="9">
        <v>46074</v>
      </c>
      <c r="C6" s="6">
        <v>1</v>
      </c>
      <c r="D6" s="3">
        <v>95</v>
      </c>
    </row>
    <row r="7" spans="2:4">
      <c r="B7" s="9">
        <v>46088</v>
      </c>
      <c r="C7" s="6">
        <v>0.86</v>
      </c>
      <c r="D7" s="3">
        <v>95</v>
      </c>
    </row>
    <row r="8" spans="2:4">
      <c r="B8" s="9">
        <v>46102</v>
      </c>
      <c r="C8" s="6">
        <v>1</v>
      </c>
      <c r="D8" s="3">
        <v>95</v>
      </c>
    </row>
    <row r="9" spans="2:4">
      <c r="B9" s="9">
        <v>46116</v>
      </c>
      <c r="C9" s="6">
        <v>1</v>
      </c>
      <c r="D9" s="3">
        <v>95</v>
      </c>
    </row>
    <row r="10" spans="2:4">
      <c r="B10" s="9">
        <v>46144</v>
      </c>
      <c r="C10" s="6">
        <v>0.89</v>
      </c>
      <c r="D10" s="3">
        <v>95</v>
      </c>
    </row>
    <row r="11" spans="2:4">
      <c r="B11" s="9">
        <v>46158</v>
      </c>
      <c r="C11" s="6">
        <v>0.92</v>
      </c>
      <c r="D11" s="3">
        <v>95</v>
      </c>
    </row>
    <row r="12" spans="2:4">
      <c r="B12" s="9">
        <v>46172</v>
      </c>
      <c r="C12" s="6">
        <v>1</v>
      </c>
      <c r="D12" s="3">
        <v>95</v>
      </c>
    </row>
    <row r="13" spans="2:4">
      <c r="B13" s="9">
        <v>46186</v>
      </c>
      <c r="C13" s="6">
        <v>1</v>
      </c>
      <c r="D13" s="3">
        <v>95</v>
      </c>
    </row>
    <row r="14" spans="2:4">
      <c r="B14" s="9">
        <v>46200</v>
      </c>
      <c r="C14" s="6">
        <v>0.88</v>
      </c>
      <c r="D14" s="3">
        <v>95</v>
      </c>
    </row>
    <row r="15" spans="2:4">
      <c r="B15" s="9">
        <v>46214</v>
      </c>
      <c r="C15" s="6">
        <v>0.88</v>
      </c>
      <c r="D15" s="3">
        <v>95</v>
      </c>
    </row>
    <row r="16" spans="2:4">
      <c r="B16" s="9">
        <v>46228</v>
      </c>
      <c r="C16" s="6">
        <v>1</v>
      </c>
      <c r="D16" s="3">
        <v>95</v>
      </c>
    </row>
    <row r="17" spans="2:4">
      <c r="B17" s="9">
        <v>46242</v>
      </c>
      <c r="C17" s="6">
        <v>1</v>
      </c>
      <c r="D17" s="3">
        <v>95</v>
      </c>
    </row>
    <row r="18" spans="2:4">
      <c r="B18" s="9">
        <v>46256</v>
      </c>
      <c r="C18" s="6">
        <v>0.78</v>
      </c>
      <c r="D18" s="3">
        <v>95</v>
      </c>
    </row>
    <row r="19" spans="2:4">
      <c r="B19" s="9">
        <v>46270</v>
      </c>
      <c r="C19" s="6">
        <v>0.92</v>
      </c>
      <c r="D19" s="3">
        <v>95</v>
      </c>
    </row>
    <row r="20" spans="2:4">
      <c r="B20" s="9">
        <v>46284</v>
      </c>
      <c r="C20" s="6">
        <v>0.93</v>
      </c>
      <c r="D20" s="3">
        <v>95</v>
      </c>
    </row>
    <row r="21" spans="2:4">
      <c r="B21" s="9">
        <v>46298</v>
      </c>
      <c r="C21" s="6">
        <v>1</v>
      </c>
      <c r="D21" s="3">
        <v>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70CDA-F532-42C7-A649-FC2283357C2A}">
  <dimension ref="B3:D23"/>
  <sheetViews>
    <sheetView workbookViewId="0">
      <selection activeCell="E10" sqref="E10"/>
    </sheetView>
  </sheetViews>
  <sheetFormatPr defaultRowHeight="14.5"/>
  <cols>
    <col min="2" max="2" width="13.1796875" bestFit="1" customWidth="1"/>
    <col min="3" max="3" width="11.7265625" bestFit="1" customWidth="1"/>
    <col min="4" max="4" width="12.26953125" bestFit="1" customWidth="1"/>
  </cols>
  <sheetData>
    <row r="3" spans="2:4">
      <c r="B3" s="3" t="s">
        <v>29</v>
      </c>
      <c r="C3" s="3" t="s">
        <v>41</v>
      </c>
      <c r="D3" s="4" t="s">
        <v>48</v>
      </c>
    </row>
    <row r="4" spans="2:4">
      <c r="B4" s="9">
        <v>46025</v>
      </c>
      <c r="C4" s="6">
        <v>0.75</v>
      </c>
      <c r="D4" s="8">
        <v>0.95</v>
      </c>
    </row>
    <row r="5" spans="2:4">
      <c r="B5" s="9">
        <v>46039</v>
      </c>
      <c r="C5" s="6">
        <v>0.92</v>
      </c>
      <c r="D5" s="8">
        <v>0.95</v>
      </c>
    </row>
    <row r="6" spans="2:4">
      <c r="B6" s="9">
        <v>46053</v>
      </c>
      <c r="C6" s="6">
        <v>0.83</v>
      </c>
      <c r="D6" s="8">
        <v>0.95</v>
      </c>
    </row>
    <row r="7" spans="2:4">
      <c r="B7" s="9">
        <v>46067</v>
      </c>
      <c r="C7" s="6">
        <v>0.67</v>
      </c>
      <c r="D7" s="8">
        <v>0.95</v>
      </c>
    </row>
    <row r="8" spans="2:4">
      <c r="B8" s="9">
        <v>46081</v>
      </c>
      <c r="C8" s="6">
        <v>0.67</v>
      </c>
      <c r="D8" s="8">
        <v>0.95</v>
      </c>
    </row>
    <row r="9" spans="2:4">
      <c r="B9" s="9">
        <v>46095</v>
      </c>
      <c r="C9" s="6">
        <v>0.92</v>
      </c>
      <c r="D9" s="8">
        <v>0.95</v>
      </c>
    </row>
    <row r="10" spans="2:4">
      <c r="B10" s="9">
        <v>46109</v>
      </c>
      <c r="C10" s="6">
        <v>0.92</v>
      </c>
      <c r="D10" s="8">
        <v>0.95</v>
      </c>
    </row>
    <row r="11" spans="2:4">
      <c r="B11" s="9">
        <v>46123</v>
      </c>
      <c r="C11" s="6">
        <v>0.75</v>
      </c>
      <c r="D11" s="8">
        <v>0.95</v>
      </c>
    </row>
    <row r="12" spans="2:4">
      <c r="B12" s="9">
        <v>46137</v>
      </c>
      <c r="C12" s="6">
        <v>0.92</v>
      </c>
      <c r="D12" s="8">
        <v>0.95</v>
      </c>
    </row>
    <row r="13" spans="2:4">
      <c r="B13" s="9">
        <v>46151</v>
      </c>
      <c r="C13" s="6">
        <v>0.92</v>
      </c>
      <c r="D13" s="8">
        <v>0.95</v>
      </c>
    </row>
    <row r="14" spans="2:4">
      <c r="B14" s="9">
        <v>46165</v>
      </c>
      <c r="C14" s="6">
        <v>1</v>
      </c>
      <c r="D14" s="8">
        <v>0.95</v>
      </c>
    </row>
    <row r="15" spans="2:4">
      <c r="B15" s="9">
        <v>46179</v>
      </c>
      <c r="C15" s="6">
        <v>0.67</v>
      </c>
      <c r="D15" s="8">
        <v>0.95</v>
      </c>
    </row>
    <row r="16" spans="2:4">
      <c r="B16" s="9">
        <v>46193</v>
      </c>
      <c r="C16" s="6">
        <v>0.57999999999999996</v>
      </c>
      <c r="D16" s="8">
        <v>0.95</v>
      </c>
    </row>
    <row r="17" spans="2:4">
      <c r="B17" s="9">
        <v>46207</v>
      </c>
      <c r="C17" s="6">
        <v>0.67</v>
      </c>
      <c r="D17" s="8">
        <v>0.95</v>
      </c>
    </row>
    <row r="18" spans="2:4">
      <c r="B18" s="9">
        <v>46221</v>
      </c>
      <c r="C18" s="6">
        <v>0.83</v>
      </c>
      <c r="D18" s="8">
        <v>0.95</v>
      </c>
    </row>
    <row r="19" spans="2:4">
      <c r="B19" s="9">
        <v>46235</v>
      </c>
      <c r="C19" s="6">
        <v>0.78</v>
      </c>
      <c r="D19" s="8">
        <v>0.95</v>
      </c>
    </row>
    <row r="20" spans="2:4">
      <c r="B20" s="9">
        <v>45884</v>
      </c>
      <c r="C20" s="6">
        <v>0.92</v>
      </c>
      <c r="D20" s="8">
        <v>0.95</v>
      </c>
    </row>
    <row r="21" spans="2:4">
      <c r="B21" s="9">
        <v>46263</v>
      </c>
      <c r="C21" s="6">
        <v>0.92</v>
      </c>
      <c r="D21" s="8">
        <v>0.95</v>
      </c>
    </row>
    <row r="22" spans="2:4">
      <c r="B22" s="9">
        <v>46277</v>
      </c>
      <c r="C22" s="6">
        <v>0.83</v>
      </c>
      <c r="D22" s="8">
        <v>0.95</v>
      </c>
    </row>
    <row r="23" spans="2:4">
      <c r="B23" s="9">
        <v>46291</v>
      </c>
      <c r="C23" s="6">
        <v>0.83</v>
      </c>
      <c r="D23" s="8">
        <v>0.95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4197C-DE73-46F6-8A7D-526CEBA82E6A}">
  <dimension ref="B3:H23"/>
  <sheetViews>
    <sheetView workbookViewId="0">
      <selection activeCell="G9" sqref="G9"/>
    </sheetView>
  </sheetViews>
  <sheetFormatPr defaultRowHeight="14.5"/>
  <cols>
    <col min="3" max="3" width="12.1796875" bestFit="1" customWidth="1"/>
    <col min="4" max="4" width="12.54296875" bestFit="1" customWidth="1"/>
    <col min="5" max="5" width="12.08984375" bestFit="1" customWidth="1"/>
    <col min="6" max="6" width="10.6328125" bestFit="1" customWidth="1"/>
    <col min="7" max="7" width="12.1796875" customWidth="1"/>
  </cols>
  <sheetData>
    <row r="3" spans="2:8">
      <c r="B3" s="3" t="s">
        <v>29</v>
      </c>
      <c r="C3" s="3" t="s">
        <v>32</v>
      </c>
      <c r="D3" s="3" t="s">
        <v>33</v>
      </c>
      <c r="E3" s="3" t="s">
        <v>34</v>
      </c>
      <c r="F3" s="3" t="s">
        <v>35</v>
      </c>
      <c r="G3" s="3" t="s">
        <v>40</v>
      </c>
      <c r="H3" s="3" t="s">
        <v>48</v>
      </c>
    </row>
    <row r="4" spans="2:8">
      <c r="B4" s="5">
        <v>46025</v>
      </c>
      <c r="C4" s="6">
        <v>0.25</v>
      </c>
      <c r="D4" s="6">
        <v>0.25</v>
      </c>
      <c r="E4" s="6">
        <v>0.21</v>
      </c>
      <c r="F4" s="6">
        <v>0.25</v>
      </c>
      <c r="G4" s="8">
        <f>SUM(C4:F4)</f>
        <v>0.96</v>
      </c>
      <c r="H4" s="24">
        <v>0.95</v>
      </c>
    </row>
    <row r="5" spans="2:8">
      <c r="B5" s="5">
        <v>46039</v>
      </c>
      <c r="C5" s="6">
        <v>0.25</v>
      </c>
      <c r="D5" s="6">
        <v>0.22</v>
      </c>
      <c r="E5" s="6">
        <v>0.21</v>
      </c>
      <c r="F5" s="6">
        <v>0.25</v>
      </c>
      <c r="G5" s="8">
        <f>SUM(C5:F5)</f>
        <v>0.92999999999999994</v>
      </c>
      <c r="H5" s="24">
        <v>0.95</v>
      </c>
    </row>
    <row r="6" spans="2:8">
      <c r="B6" s="5">
        <v>46053</v>
      </c>
      <c r="C6" s="6">
        <v>0.23</v>
      </c>
      <c r="D6" s="6">
        <v>0.22</v>
      </c>
      <c r="E6" s="6">
        <v>0.21</v>
      </c>
      <c r="F6" s="6">
        <v>0.25</v>
      </c>
      <c r="G6" s="8">
        <f t="shared" ref="G6:G23" si="0">SUM(C6:F6)</f>
        <v>0.91</v>
      </c>
      <c r="H6" s="24">
        <v>0.95</v>
      </c>
    </row>
    <row r="7" spans="2:8">
      <c r="B7" s="5">
        <v>46067</v>
      </c>
      <c r="C7" s="6">
        <v>0.23</v>
      </c>
      <c r="D7" s="6">
        <v>0.25</v>
      </c>
      <c r="E7" s="6">
        <v>0.21</v>
      </c>
      <c r="F7" s="6">
        <v>0.21</v>
      </c>
      <c r="G7" s="8">
        <f t="shared" si="0"/>
        <v>0.89999999999999991</v>
      </c>
      <c r="H7" s="24">
        <v>0.95</v>
      </c>
    </row>
    <row r="8" spans="2:8">
      <c r="B8" s="5">
        <v>46081</v>
      </c>
      <c r="C8" s="6">
        <v>0.23</v>
      </c>
      <c r="D8" s="6">
        <v>0.25</v>
      </c>
      <c r="E8" s="6">
        <v>0.18</v>
      </c>
      <c r="F8" s="6">
        <v>0.25</v>
      </c>
      <c r="G8" s="8">
        <f t="shared" si="0"/>
        <v>0.90999999999999992</v>
      </c>
      <c r="H8" s="24">
        <v>0.95</v>
      </c>
    </row>
    <row r="9" spans="2:8">
      <c r="B9" s="5">
        <v>46095</v>
      </c>
      <c r="C9" s="6">
        <v>0.25</v>
      </c>
      <c r="D9" s="6">
        <v>0.25</v>
      </c>
      <c r="E9" s="6">
        <v>0.21</v>
      </c>
      <c r="F9" s="6">
        <v>0.25</v>
      </c>
      <c r="G9" s="8">
        <f t="shared" si="0"/>
        <v>0.96</v>
      </c>
      <c r="H9" s="24">
        <v>0.95</v>
      </c>
    </row>
    <row r="10" spans="2:8">
      <c r="B10" s="5">
        <v>46109</v>
      </c>
      <c r="C10" s="6">
        <v>0.25</v>
      </c>
      <c r="D10" s="6">
        <v>0.25</v>
      </c>
      <c r="E10" s="6">
        <v>0.21</v>
      </c>
      <c r="F10" s="6">
        <v>0.25</v>
      </c>
      <c r="G10" s="8">
        <f t="shared" si="0"/>
        <v>0.96</v>
      </c>
      <c r="H10" s="24">
        <v>0.95</v>
      </c>
    </row>
    <row r="11" spans="2:8">
      <c r="B11" s="5">
        <v>46123</v>
      </c>
      <c r="C11" s="6">
        <v>0.25</v>
      </c>
      <c r="D11" s="6">
        <v>0.25</v>
      </c>
      <c r="E11" s="6">
        <v>0.21</v>
      </c>
      <c r="F11" s="6">
        <v>0.21</v>
      </c>
      <c r="G11" s="8">
        <f t="shared" si="0"/>
        <v>0.91999999999999993</v>
      </c>
      <c r="H11" s="24">
        <v>0.95</v>
      </c>
    </row>
    <row r="12" spans="2:8">
      <c r="B12" s="5">
        <v>46137</v>
      </c>
      <c r="C12" s="6">
        <v>0.25</v>
      </c>
      <c r="D12" s="6">
        <v>0.22</v>
      </c>
      <c r="E12" s="6">
        <v>0.21</v>
      </c>
      <c r="F12" s="6">
        <v>0.25</v>
      </c>
      <c r="G12" s="8">
        <f t="shared" si="0"/>
        <v>0.92999999999999994</v>
      </c>
      <c r="H12" s="24">
        <v>0.95</v>
      </c>
    </row>
    <row r="13" spans="2:8">
      <c r="B13" s="3" t="s">
        <v>36</v>
      </c>
      <c r="C13" s="6">
        <v>0.25</v>
      </c>
      <c r="D13" s="6">
        <v>0.22</v>
      </c>
      <c r="E13" s="6">
        <v>0.21</v>
      </c>
      <c r="F13" s="6">
        <v>0.25</v>
      </c>
      <c r="G13" s="8">
        <f t="shared" si="0"/>
        <v>0.92999999999999994</v>
      </c>
      <c r="H13" s="24">
        <v>0.95</v>
      </c>
    </row>
    <row r="14" spans="2:8">
      <c r="B14" s="3" t="s">
        <v>37</v>
      </c>
      <c r="C14" s="6">
        <v>0.25</v>
      </c>
      <c r="D14" s="6">
        <v>0.25</v>
      </c>
      <c r="E14" s="6">
        <v>0.21</v>
      </c>
      <c r="F14" s="6">
        <v>0.25</v>
      </c>
      <c r="G14" s="8">
        <f t="shared" si="0"/>
        <v>0.96</v>
      </c>
      <c r="H14" s="24">
        <v>0.95</v>
      </c>
    </row>
    <row r="15" spans="2:8">
      <c r="B15" s="3" t="s">
        <v>38</v>
      </c>
      <c r="C15" s="6">
        <v>0.25</v>
      </c>
      <c r="D15" s="6">
        <v>0.22</v>
      </c>
      <c r="E15" s="6">
        <v>0.21</v>
      </c>
      <c r="F15" s="6">
        <v>0.25</v>
      </c>
      <c r="G15" s="8">
        <f t="shared" si="0"/>
        <v>0.92999999999999994</v>
      </c>
      <c r="H15" s="24">
        <v>0.95</v>
      </c>
    </row>
    <row r="16" spans="2:8">
      <c r="B16" s="3" t="s">
        <v>39</v>
      </c>
      <c r="C16" s="6">
        <v>0.25</v>
      </c>
      <c r="D16" s="6">
        <v>0.25</v>
      </c>
      <c r="E16" s="6">
        <v>0.21</v>
      </c>
      <c r="F16" s="6">
        <v>0.25</v>
      </c>
      <c r="G16" s="8">
        <f t="shared" si="0"/>
        <v>0.96</v>
      </c>
      <c r="H16" s="24">
        <v>0.95</v>
      </c>
    </row>
    <row r="17" spans="2:8">
      <c r="B17" s="3" t="s">
        <v>25</v>
      </c>
      <c r="C17" s="6">
        <v>0.25</v>
      </c>
      <c r="D17" s="6">
        <v>0.22</v>
      </c>
      <c r="E17" s="6">
        <v>0.21</v>
      </c>
      <c r="F17" s="6">
        <v>0.25</v>
      </c>
      <c r="G17" s="8">
        <f t="shared" si="0"/>
        <v>0.92999999999999994</v>
      </c>
      <c r="H17" s="24">
        <v>0.95</v>
      </c>
    </row>
    <row r="18" spans="2:8">
      <c r="B18" s="3" t="s">
        <v>27</v>
      </c>
      <c r="C18" s="6">
        <v>0.25</v>
      </c>
      <c r="D18" s="6">
        <v>0.22</v>
      </c>
      <c r="E18" s="6">
        <v>0.21</v>
      </c>
      <c r="F18" s="6">
        <v>0.25</v>
      </c>
      <c r="G18" s="8">
        <f t="shared" si="0"/>
        <v>0.92999999999999994</v>
      </c>
      <c r="H18" s="24">
        <v>0.95</v>
      </c>
    </row>
    <row r="19" spans="2:8">
      <c r="B19" s="5">
        <v>46235</v>
      </c>
      <c r="C19" s="6">
        <v>0.25</v>
      </c>
      <c r="D19" s="6">
        <v>0.22</v>
      </c>
      <c r="E19" s="6">
        <v>0.21</v>
      </c>
      <c r="F19" s="6">
        <v>0.25</v>
      </c>
      <c r="G19" s="8">
        <f t="shared" si="0"/>
        <v>0.92999999999999994</v>
      </c>
      <c r="H19" s="24">
        <v>0.95</v>
      </c>
    </row>
    <row r="20" spans="2:8">
      <c r="B20" s="5">
        <v>46249</v>
      </c>
      <c r="C20" s="6">
        <v>0.25</v>
      </c>
      <c r="D20" s="6">
        <v>0.22</v>
      </c>
      <c r="E20" s="6">
        <v>0.21</v>
      </c>
      <c r="F20" s="6">
        <v>0.25</v>
      </c>
      <c r="G20" s="8">
        <f t="shared" si="0"/>
        <v>0.92999999999999994</v>
      </c>
      <c r="H20" s="24">
        <v>0.95</v>
      </c>
    </row>
    <row r="21" spans="2:8">
      <c r="B21" s="5">
        <v>46263</v>
      </c>
      <c r="C21" s="6">
        <v>0.25</v>
      </c>
      <c r="D21" s="6">
        <v>0.22</v>
      </c>
      <c r="E21" s="6">
        <v>0.21</v>
      </c>
      <c r="F21" s="6">
        <v>0.25</v>
      </c>
      <c r="G21" s="8">
        <f t="shared" si="0"/>
        <v>0.92999999999999994</v>
      </c>
      <c r="H21" s="24">
        <v>0.95</v>
      </c>
    </row>
    <row r="22" spans="2:8">
      <c r="B22" s="5">
        <v>46277</v>
      </c>
      <c r="C22" s="6">
        <v>0.25</v>
      </c>
      <c r="D22" s="6">
        <v>0.22</v>
      </c>
      <c r="E22" s="6">
        <v>0.21</v>
      </c>
      <c r="F22" s="6">
        <v>0.25</v>
      </c>
      <c r="G22" s="8">
        <f t="shared" si="0"/>
        <v>0.92999999999999994</v>
      </c>
      <c r="H22" s="24">
        <v>0.95</v>
      </c>
    </row>
    <row r="23" spans="2:8">
      <c r="B23" s="5">
        <v>46291</v>
      </c>
      <c r="C23" s="6">
        <v>0.25</v>
      </c>
      <c r="D23" s="6">
        <v>0.22</v>
      </c>
      <c r="E23" s="6">
        <v>0.21</v>
      </c>
      <c r="F23" s="6">
        <v>0.25</v>
      </c>
      <c r="G23" s="8">
        <f t="shared" si="0"/>
        <v>0.92999999999999994</v>
      </c>
      <c r="H23" s="24">
        <v>0.95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C3F07-84D4-4B37-B89E-7CD16A06073F}">
  <dimension ref="B1:I3"/>
  <sheetViews>
    <sheetView workbookViewId="0">
      <selection activeCell="F7" sqref="F7"/>
    </sheetView>
  </sheetViews>
  <sheetFormatPr defaultRowHeight="14.5"/>
  <cols>
    <col min="2" max="2" width="10.08984375" bestFit="1" customWidth="1"/>
    <col min="3" max="3" width="8.90625" customWidth="1"/>
    <col min="4" max="4" width="8.1796875" bestFit="1" customWidth="1"/>
    <col min="5" max="5" width="5.90625" bestFit="1" customWidth="1"/>
    <col min="6" max="6" width="6.7265625" bestFit="1" customWidth="1"/>
    <col min="7" max="7" width="10.36328125" bestFit="1" customWidth="1"/>
  </cols>
  <sheetData>
    <row r="1" spans="2:9">
      <c r="C1" s="29" t="s">
        <v>30</v>
      </c>
      <c r="D1" s="29"/>
      <c r="E1" s="29"/>
      <c r="F1" s="29"/>
      <c r="G1" s="29"/>
    </row>
    <row r="2" spans="2:9">
      <c r="B2" s="3" t="s">
        <v>29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50</v>
      </c>
      <c r="I2" s="25" t="s">
        <v>42</v>
      </c>
    </row>
    <row r="3" spans="2:9">
      <c r="B3" s="3" t="s">
        <v>49</v>
      </c>
      <c r="C3" s="6">
        <v>0.35</v>
      </c>
      <c r="D3" s="6">
        <v>0.11</v>
      </c>
      <c r="E3" s="6">
        <v>0.08</v>
      </c>
      <c r="F3" s="6">
        <v>0.2</v>
      </c>
      <c r="G3" s="6">
        <v>0.1</v>
      </c>
      <c r="H3" s="24">
        <f>SUM(C3:G3)</f>
        <v>0.84</v>
      </c>
      <c r="I3" s="24">
        <v>0.95</v>
      </c>
    </row>
  </sheetData>
  <mergeCells count="1">
    <mergeCell ref="C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Hasil audit produksi</vt:lpstr>
      <vt:lpstr>Hasil audit WH packaging</vt:lpstr>
      <vt:lpstr>Hasil audit WH IM</vt:lpstr>
      <vt:lpstr>Hasil audit raw material</vt:lpstr>
      <vt:lpstr>Hasil audit IE</vt:lpstr>
      <vt:lpstr>Hasil Audit PE</vt:lpstr>
      <vt:lpstr>Hasil audit Maintenance</vt:lpstr>
      <vt:lpstr>Hasil audit QC</vt:lpstr>
      <vt:lpstr>Hasil audit Rak WIP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Rogan</dc:creator>
  <cp:lastModifiedBy>Rogan</cp:lastModifiedBy>
  <dcterms:created xsi:type="dcterms:W3CDTF">2026-10-01T01:18:48Z</dcterms:created>
  <dcterms:modified xsi:type="dcterms:W3CDTF">2026-10-12T10:13:36Z</dcterms:modified>
</cp:coreProperties>
</file>